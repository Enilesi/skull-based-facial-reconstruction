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Keith\Documents\Anthropology\ReFace data paper\"/>
    </mc:Choice>
  </mc:AlternateContent>
  <xr:revisionPtr revIDLastSave="0" documentId="13_ncr:1_{0B556251-6DEA-475B-A859-67FE497881D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Ref" sheetId="8" r:id="rId1"/>
    <sheet name="AFRF" sheetId="3" r:id="rId2"/>
    <sheet name="AFRM" sheetId="5" r:id="rId3"/>
    <sheet name="ASNF" sheetId="6" r:id="rId4"/>
    <sheet name="ASNM" sheetId="7" r:id="rId5"/>
    <sheet name="EURF" sheetId="1" r:id="rId6"/>
    <sheet name="EURM" sheetId="2" r:id="rId7"/>
  </sheets>
  <definedNames>
    <definedName name="_xlnm.Print_Titles" localSheetId="5">EURF!$1:$2, EURF!$A:$D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3" l="1"/>
  <c r="C57" i="3" s="1"/>
  <c r="B56" i="3"/>
  <c r="C56" i="3" s="1"/>
  <c r="B55" i="3"/>
  <c r="C55" i="3" s="1"/>
  <c r="B54" i="3"/>
  <c r="C54" i="3" s="1"/>
  <c r="B53" i="3"/>
  <c r="C53" i="3" s="1"/>
  <c r="B52" i="3"/>
  <c r="C52" i="3" s="1"/>
  <c r="B51" i="3"/>
  <c r="C51" i="3" s="1"/>
  <c r="B50" i="3"/>
  <c r="C50" i="3" s="1"/>
  <c r="B49" i="3"/>
  <c r="C49" i="3" s="1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2" i="1"/>
</calcChain>
</file>

<file path=xl/sharedStrings.xml><?xml version="1.0" encoding="utf-8"?>
<sst xmlns="http://schemas.openxmlformats.org/spreadsheetml/2006/main" count="841" uniqueCount="408">
  <si>
    <t>F</t>
  </si>
  <si>
    <t>W</t>
  </si>
  <si>
    <t>X</t>
  </si>
  <si>
    <t>Y</t>
  </si>
  <si>
    <t>Z</t>
  </si>
  <si>
    <t>AUB</t>
  </si>
  <si>
    <t>BBH</t>
  </si>
  <si>
    <t>BNL</t>
  </si>
  <si>
    <t>BPL</t>
  </si>
  <si>
    <t>FRC</t>
  </si>
  <si>
    <t>GOL</t>
  </si>
  <si>
    <t>MAB</t>
  </si>
  <si>
    <t>NLB</t>
  </si>
  <si>
    <t>OCC</t>
  </si>
  <si>
    <t>PAC</t>
  </si>
  <si>
    <t>Sex</t>
  </si>
  <si>
    <t>WFB</t>
  </si>
  <si>
    <t>XCB</t>
  </si>
  <si>
    <t>ZYB</t>
  </si>
  <si>
    <t>NLHL</t>
  </si>
  <si>
    <t>OBBL</t>
  </si>
  <si>
    <t>OBHL</t>
  </si>
  <si>
    <t>UFHT</t>
  </si>
  <si>
    <t>CAU006</t>
  </si>
  <si>
    <t>CAU007</t>
  </si>
  <si>
    <t>CAU008</t>
  </si>
  <si>
    <t>CAU009</t>
  </si>
  <si>
    <t>CAU010</t>
  </si>
  <si>
    <t>CAU011</t>
  </si>
  <si>
    <t>CAU013</t>
  </si>
  <si>
    <t>CAU015</t>
  </si>
  <si>
    <t>CAU016</t>
  </si>
  <si>
    <t>CAU017</t>
  </si>
  <si>
    <t>CAU018</t>
  </si>
  <si>
    <t>CAU019</t>
  </si>
  <si>
    <t>CAU020</t>
  </si>
  <si>
    <t>CAU021</t>
  </si>
  <si>
    <t>CAU022</t>
  </si>
  <si>
    <t>CAU023</t>
  </si>
  <si>
    <t>CAU024</t>
  </si>
  <si>
    <t>CAU025</t>
  </si>
  <si>
    <t>CAU026</t>
  </si>
  <si>
    <t>CAU027</t>
  </si>
  <si>
    <t>CAU028</t>
  </si>
  <si>
    <t>CAU031</t>
  </si>
  <si>
    <t>CAU033</t>
  </si>
  <si>
    <t>CAU034</t>
  </si>
  <si>
    <t>CAU035</t>
  </si>
  <si>
    <t>CAU040</t>
  </si>
  <si>
    <t>CAU045</t>
  </si>
  <si>
    <t>CAU049</t>
  </si>
  <si>
    <t>CAU050</t>
  </si>
  <si>
    <t>CAU052</t>
  </si>
  <si>
    <t>CAU053</t>
  </si>
  <si>
    <t>CAU054</t>
  </si>
  <si>
    <t>CAU056</t>
  </si>
  <si>
    <t>CAU057</t>
  </si>
  <si>
    <t>CAU082</t>
  </si>
  <si>
    <t>CAU083</t>
  </si>
  <si>
    <t>CAU084</t>
  </si>
  <si>
    <t>CAU085</t>
  </si>
  <si>
    <t>CAU088</t>
  </si>
  <si>
    <t>CAU090</t>
  </si>
  <si>
    <t>CAU093</t>
  </si>
  <si>
    <t>CAU094</t>
  </si>
  <si>
    <t>CAU095</t>
  </si>
  <si>
    <t>CAU096</t>
  </si>
  <si>
    <t>CAU097</t>
  </si>
  <si>
    <t>CAU099</t>
  </si>
  <si>
    <t>EUR006</t>
  </si>
  <si>
    <t>EUR007</t>
  </si>
  <si>
    <t>EUR008</t>
  </si>
  <si>
    <t>EUR009</t>
  </si>
  <si>
    <t>EUR010</t>
  </si>
  <si>
    <t>EUR011</t>
  </si>
  <si>
    <t>EUR013</t>
  </si>
  <si>
    <t>EUR015</t>
  </si>
  <si>
    <t>EUR016</t>
  </si>
  <si>
    <t>EUR017</t>
  </si>
  <si>
    <t>EUR018</t>
  </si>
  <si>
    <t>EUR019</t>
  </si>
  <si>
    <t>EUR020</t>
  </si>
  <si>
    <t>EUR021</t>
  </si>
  <si>
    <t>EUR022</t>
  </si>
  <si>
    <t>EUR023</t>
  </si>
  <si>
    <t>EUR024</t>
  </si>
  <si>
    <t>EUR025</t>
  </si>
  <si>
    <t>EUR026</t>
  </si>
  <si>
    <t>EUR027</t>
  </si>
  <si>
    <t>EUR028</t>
  </si>
  <si>
    <t>EUR031</t>
  </si>
  <si>
    <t>EUR033</t>
  </si>
  <si>
    <t>EUR034</t>
  </si>
  <si>
    <t>EUR035</t>
  </si>
  <si>
    <t>EUR040</t>
  </si>
  <si>
    <t>EUR045</t>
  </si>
  <si>
    <t>EUR049</t>
  </si>
  <si>
    <t>EUR050</t>
  </si>
  <si>
    <t>EUR052</t>
  </si>
  <si>
    <t>EUR053</t>
  </si>
  <si>
    <t>EUR054</t>
  </si>
  <si>
    <t>EUR056</t>
  </si>
  <si>
    <t>EUR057</t>
  </si>
  <si>
    <t>EUR082</t>
  </si>
  <si>
    <t>EUR083</t>
  </si>
  <si>
    <t>EUR084</t>
  </si>
  <si>
    <t>EUR085</t>
  </si>
  <si>
    <t>EUR088</t>
  </si>
  <si>
    <t>EUR090</t>
  </si>
  <si>
    <t>EUR093</t>
  </si>
  <si>
    <t>EUR094</t>
  </si>
  <si>
    <t>EUR095</t>
  </si>
  <si>
    <t>EUR096</t>
  </si>
  <si>
    <t>EUR097</t>
  </si>
  <si>
    <t>EUR099</t>
  </si>
  <si>
    <t>CAU001</t>
  </si>
  <si>
    <t>EUR001</t>
  </si>
  <si>
    <t>M</t>
  </si>
  <si>
    <t>CAU004</t>
  </si>
  <si>
    <t>EUR004</t>
  </si>
  <si>
    <t>CAU005</t>
  </si>
  <si>
    <t>EUR005</t>
  </si>
  <si>
    <t>CAU012</t>
  </si>
  <si>
    <t>EUR012</t>
  </si>
  <si>
    <t>CAU014</t>
  </si>
  <si>
    <t>EUR014</t>
  </si>
  <si>
    <t>CAU030</t>
  </si>
  <si>
    <t>EUR030</t>
  </si>
  <si>
    <t>CAU037</t>
  </si>
  <si>
    <t>EUR037</t>
  </si>
  <si>
    <t>CAU038</t>
  </si>
  <si>
    <t>EUR038</t>
  </si>
  <si>
    <t>CAU039</t>
  </si>
  <si>
    <t>EUR039</t>
  </si>
  <si>
    <t>CAU041</t>
  </si>
  <si>
    <t>EUR041</t>
  </si>
  <si>
    <t>CAU042</t>
  </si>
  <si>
    <t>EUR042</t>
  </si>
  <si>
    <t>CAU044</t>
  </si>
  <si>
    <t>EUR044</t>
  </si>
  <si>
    <t>CAU046</t>
  </si>
  <si>
    <t>EUR046</t>
  </si>
  <si>
    <t>CAU047</t>
  </si>
  <si>
    <t>EUR047</t>
  </si>
  <si>
    <t>CAU048</t>
  </si>
  <si>
    <t>EUR048</t>
  </si>
  <si>
    <t>CAU051</t>
  </si>
  <si>
    <t>EUR051</t>
  </si>
  <si>
    <t>CAU055</t>
  </si>
  <si>
    <t>EUR055</t>
  </si>
  <si>
    <t>CAU058</t>
  </si>
  <si>
    <t>EUR058</t>
  </si>
  <si>
    <t>CAU059</t>
  </si>
  <si>
    <t>EUR059</t>
  </si>
  <si>
    <t>CAU060</t>
  </si>
  <si>
    <t>EUR060</t>
  </si>
  <si>
    <t>CAU061</t>
  </si>
  <si>
    <t>EUR061</t>
  </si>
  <si>
    <t>CAU062</t>
  </si>
  <si>
    <t>EUR062</t>
  </si>
  <si>
    <t>CAU063</t>
  </si>
  <si>
    <t>EUR063</t>
  </si>
  <si>
    <t>CAU064</t>
  </si>
  <si>
    <t>EUR064</t>
  </si>
  <si>
    <t>CAU066</t>
  </si>
  <si>
    <t>EUR066</t>
  </si>
  <si>
    <t>CAU067</t>
  </si>
  <si>
    <t>EUR067</t>
  </si>
  <si>
    <t>CAU068</t>
  </si>
  <si>
    <t>EUR068</t>
  </si>
  <si>
    <t>CAU069</t>
  </si>
  <si>
    <t>EUR069</t>
  </si>
  <si>
    <t>CAU070</t>
  </si>
  <si>
    <t>EUR070</t>
  </si>
  <si>
    <t>CAU071</t>
  </si>
  <si>
    <t>EUR071</t>
  </si>
  <si>
    <t>CAU072</t>
  </si>
  <si>
    <t>EUR072</t>
  </si>
  <si>
    <t>CAU073</t>
  </si>
  <si>
    <t>EUR073</t>
  </si>
  <si>
    <t>CAU074</t>
  </si>
  <si>
    <t>EUR074</t>
  </si>
  <si>
    <t>CAU075</t>
  </si>
  <si>
    <t>EUR075</t>
  </si>
  <si>
    <t>CAU076</t>
  </si>
  <si>
    <t>EUR076</t>
  </si>
  <si>
    <t>CAU077</t>
  </si>
  <si>
    <t>EUR077</t>
  </si>
  <si>
    <t>CAU078</t>
  </si>
  <si>
    <t>EUR078</t>
  </si>
  <si>
    <t>CAU079</t>
  </si>
  <si>
    <t>EUR079</t>
  </si>
  <si>
    <t>CAU080</t>
  </si>
  <si>
    <t>EUR080</t>
  </si>
  <si>
    <t>CAU081</t>
  </si>
  <si>
    <t>EUR081</t>
  </si>
  <si>
    <t>CAU086</t>
  </si>
  <si>
    <t>EUR086</t>
  </si>
  <si>
    <t>CAU087</t>
  </si>
  <si>
    <t>EUR087</t>
  </si>
  <si>
    <t>CAU091</t>
  </si>
  <si>
    <t>EUR091</t>
  </si>
  <si>
    <t>CAU092</t>
  </si>
  <si>
    <t>EUR092</t>
  </si>
  <si>
    <t>CAU098</t>
  </si>
  <si>
    <t>EUR098</t>
  </si>
  <si>
    <t>CAU100</t>
  </si>
  <si>
    <t>EUR100</t>
  </si>
  <si>
    <t>CAU101</t>
  </si>
  <si>
    <t>EUR101</t>
  </si>
  <si>
    <t>AFR001</t>
  </si>
  <si>
    <t>AFR002</t>
  </si>
  <si>
    <t>AFR003</t>
  </si>
  <si>
    <t>AFR004</t>
  </si>
  <si>
    <t>AFR005</t>
  </si>
  <si>
    <t>AFR009</t>
  </si>
  <si>
    <t>AFR010</t>
  </si>
  <si>
    <t>AFR011</t>
  </si>
  <si>
    <t>AFR022</t>
  </si>
  <si>
    <t>AFR030</t>
  </si>
  <si>
    <t>AFR034</t>
  </si>
  <si>
    <t>AFR038</t>
  </si>
  <si>
    <t>AFR042</t>
  </si>
  <si>
    <t>AFR045</t>
  </si>
  <si>
    <t>AFR047</t>
  </si>
  <si>
    <t>AFR050</t>
  </si>
  <si>
    <t>AFR051</t>
  </si>
  <si>
    <t>AFR052</t>
  </si>
  <si>
    <t>AFR054</t>
  </si>
  <si>
    <t>AFR055</t>
  </si>
  <si>
    <t>AFR057</t>
  </si>
  <si>
    <t>AFR059</t>
  </si>
  <si>
    <t>AFR060</t>
  </si>
  <si>
    <t>AFR069</t>
  </si>
  <si>
    <t>AFR070</t>
  </si>
  <si>
    <t>AFR071</t>
  </si>
  <si>
    <t>AFR075</t>
  </si>
  <si>
    <t>AFR085</t>
  </si>
  <si>
    <t>AFR087</t>
  </si>
  <si>
    <t>AFR089</t>
  </si>
  <si>
    <t>AFR090</t>
  </si>
  <si>
    <t>AFR092</t>
  </si>
  <si>
    <t>AFR093</t>
  </si>
  <si>
    <t>AFR094</t>
  </si>
  <si>
    <t>AFR095</t>
  </si>
  <si>
    <t>AFR096</t>
  </si>
  <si>
    <t>AFR097</t>
  </si>
  <si>
    <t>AFR098</t>
  </si>
  <si>
    <t>AFR099</t>
  </si>
  <si>
    <t>AFR100</t>
  </si>
  <si>
    <t>AFR102</t>
  </si>
  <si>
    <t>AFR103</t>
  </si>
  <si>
    <t>AFR104</t>
  </si>
  <si>
    <t>AFR105</t>
  </si>
  <si>
    <t>AFR106</t>
  </si>
  <si>
    <t>AFR107</t>
  </si>
  <si>
    <t>HWF100</t>
  </si>
  <si>
    <t>AFRH100</t>
  </si>
  <si>
    <t>HWF52</t>
  </si>
  <si>
    <t>HWF69</t>
  </si>
  <si>
    <t>HWF77</t>
  </si>
  <si>
    <t>HWF78</t>
  </si>
  <si>
    <t>HWF89</t>
  </si>
  <si>
    <t>HWF95</t>
  </si>
  <si>
    <t>HWF96</t>
  </si>
  <si>
    <t>HWF98</t>
  </si>
  <si>
    <t>HWF99</t>
  </si>
  <si>
    <t>Other_Demo_Info</t>
  </si>
  <si>
    <t>AFR006</t>
  </si>
  <si>
    <t>AFR008</t>
  </si>
  <si>
    <t>AFR012</t>
  </si>
  <si>
    <t>AFR013</t>
  </si>
  <si>
    <t>AFR014</t>
  </si>
  <si>
    <t>AFR015</t>
  </si>
  <si>
    <t>AFR016</t>
  </si>
  <si>
    <t>AFR017</t>
  </si>
  <si>
    <t>AFR018</t>
  </si>
  <si>
    <t>AFR019</t>
  </si>
  <si>
    <t>AFR020</t>
  </si>
  <si>
    <t>AFR021</t>
  </si>
  <si>
    <t>AFR023</t>
  </si>
  <si>
    <t>AFR025</t>
  </si>
  <si>
    <t>AFR026</t>
  </si>
  <si>
    <t>AFR027</t>
  </si>
  <si>
    <t>AFR028</t>
  </si>
  <si>
    <t>AFR029</t>
  </si>
  <si>
    <t>AFR031</t>
  </si>
  <si>
    <t>AFR032</t>
  </si>
  <si>
    <t>AFR033</t>
  </si>
  <si>
    <t>AFR036</t>
  </si>
  <si>
    <t>AFR037</t>
  </si>
  <si>
    <t>AFR039</t>
  </si>
  <si>
    <t>AFR040</t>
  </si>
  <si>
    <t>AFR043</t>
  </si>
  <si>
    <t>AFR044</t>
  </si>
  <si>
    <t>AFR049</t>
  </si>
  <si>
    <t>AFR053</t>
  </si>
  <si>
    <t>AFR058</t>
  </si>
  <si>
    <t>AFR061</t>
  </si>
  <si>
    <t>AFR062</t>
  </si>
  <si>
    <t>AFR063</t>
  </si>
  <si>
    <t>AFR065</t>
  </si>
  <si>
    <t>AFR067</t>
  </si>
  <si>
    <t>AFR073</t>
  </si>
  <si>
    <t>AFR078</t>
  </si>
  <si>
    <t>AFR080</t>
  </si>
  <si>
    <t>AFR081</t>
  </si>
  <si>
    <t>AFR082</t>
  </si>
  <si>
    <t>AFR101</t>
  </si>
  <si>
    <t>hwm79</t>
  </si>
  <si>
    <t>AFR108</t>
  </si>
  <si>
    <t>AFR110</t>
  </si>
  <si>
    <t>HWM70</t>
  </si>
  <si>
    <t>HWM74</t>
  </si>
  <si>
    <t>ASN001</t>
  </si>
  <si>
    <t>ASN002</t>
  </si>
  <si>
    <t>ASN003</t>
  </si>
  <si>
    <t>ASN005</t>
  </si>
  <si>
    <t>ASN006</t>
  </si>
  <si>
    <t>ASN009</t>
  </si>
  <si>
    <t>ASN012</t>
  </si>
  <si>
    <t>ASN013</t>
  </si>
  <si>
    <t>ASN020</t>
  </si>
  <si>
    <t>ASN021</t>
  </si>
  <si>
    <t>ASN022</t>
  </si>
  <si>
    <t>ASN024</t>
  </si>
  <si>
    <t>ASN025</t>
  </si>
  <si>
    <t>ASN028</t>
  </si>
  <si>
    <t>ASN029</t>
  </si>
  <si>
    <t>ASN030</t>
  </si>
  <si>
    <t>ASN031</t>
  </si>
  <si>
    <t>ASN033</t>
  </si>
  <si>
    <t>ASN034</t>
  </si>
  <si>
    <t>ASN035</t>
  </si>
  <si>
    <t>ASN038</t>
  </si>
  <si>
    <t>ASN041</t>
  </si>
  <si>
    <t>ASN043</t>
  </si>
  <si>
    <t>ASN045</t>
  </si>
  <si>
    <t>ASN047</t>
  </si>
  <si>
    <t>ASN048</t>
  </si>
  <si>
    <t>ASN049</t>
  </si>
  <si>
    <t>ASN051</t>
  </si>
  <si>
    <t>ASN053</t>
  </si>
  <si>
    <t>ASN055</t>
  </si>
  <si>
    <t>ASN057</t>
  </si>
  <si>
    <t>ASN060</t>
  </si>
  <si>
    <t>ASN061</t>
  </si>
  <si>
    <t>ASN062</t>
  </si>
  <si>
    <t>ASN064</t>
  </si>
  <si>
    <t>ASN066</t>
  </si>
  <si>
    <t>ASN067</t>
  </si>
  <si>
    <t>ASN068</t>
  </si>
  <si>
    <t>ASN072</t>
  </si>
  <si>
    <t>ASN073</t>
  </si>
  <si>
    <t>ASN074</t>
  </si>
  <si>
    <t>ASN076</t>
  </si>
  <si>
    <t>ASN080</t>
  </si>
  <si>
    <t>ASN088</t>
  </si>
  <si>
    <t>ASN094</t>
  </si>
  <si>
    <t>ASN095</t>
  </si>
  <si>
    <t>ASN004</t>
  </si>
  <si>
    <t>ASN007</t>
  </si>
  <si>
    <t>ASN008</t>
  </si>
  <si>
    <t>ASN010</t>
  </si>
  <si>
    <t>ASN011</t>
  </si>
  <si>
    <t>ASN014</t>
  </si>
  <si>
    <t>ASN015</t>
  </si>
  <si>
    <t>ASN016</t>
  </si>
  <si>
    <t>ASN017</t>
  </si>
  <si>
    <t>ASN018</t>
  </si>
  <si>
    <t>ASN019</t>
  </si>
  <si>
    <t>ASN023</t>
  </si>
  <si>
    <t>ASN026</t>
  </si>
  <si>
    <t>ASN027</t>
  </si>
  <si>
    <t>ASN032</t>
  </si>
  <si>
    <t>ASN036</t>
  </si>
  <si>
    <t>ASN037</t>
  </si>
  <si>
    <t>ASN039</t>
  </si>
  <si>
    <t>ASN040</t>
  </si>
  <si>
    <t>ASN042</t>
  </si>
  <si>
    <t>ASN044</t>
  </si>
  <si>
    <t>ASN046</t>
  </si>
  <si>
    <t>ASN050</t>
  </si>
  <si>
    <t>ASN052</t>
  </si>
  <si>
    <t>ASN054</t>
  </si>
  <si>
    <t>ASN056</t>
  </si>
  <si>
    <t>ASN058</t>
  </si>
  <si>
    <t>ASN059</t>
  </si>
  <si>
    <t>ASN063</t>
  </si>
  <si>
    <t>ASN065</t>
  </si>
  <si>
    <t>ASN069</t>
  </si>
  <si>
    <t>ASN070</t>
  </si>
  <si>
    <t>ASN071</t>
  </si>
  <si>
    <t>ASN075</t>
  </si>
  <si>
    <t>ASN077</t>
  </si>
  <si>
    <t>ASN079</t>
  </si>
  <si>
    <t>ASN081</t>
  </si>
  <si>
    <t>ASN082</t>
  </si>
  <si>
    <t>ASN084</t>
  </si>
  <si>
    <t>ASN085</t>
  </si>
  <si>
    <t>ASN086</t>
  </si>
  <si>
    <t>ASN087</t>
  </si>
  <si>
    <t>ASN089</t>
  </si>
  <si>
    <t>ASN090</t>
  </si>
  <si>
    <t>ASN091</t>
  </si>
  <si>
    <t>ASN092</t>
  </si>
  <si>
    <t>ASN093</t>
  </si>
  <si>
    <t>Simmons-Ehrhardt T, Ehrhardt C, Monson K. Evaluation of the suitability of cranial measurements obtained from surface-rendered CT scans of living people for estimating sex and ancestry. J Forensic Radiol Imag 2019;19:100338. doi:10.1016/j.jofri.2019.100338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</si>
</sst>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color indexed="8"/>
      <name val="Segoe UI"/>
    </font>
    <font>
      <sz val="12"/>
      <color indexed="8"/>
      <name val="Arial"/>
    </font>
    <font>
      <b/>
      <sz val="12"/>
      <color indexed="8"/>
      <name val="Arial"/>
    </font>
    <font>
      <b/>
      <sz val="12"/>
      <color indexed="8"/>
      <name val="Segoe UI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3" borderId="0" xfId="0" applyFont="1" applyFill="1" applyAlignment="1" applyProtection="1">
      <alignment horizontal="left" vertical="center" wrapText="1"/>
      <protection locked="0"/>
    </xf>
    <xf numFmtId="0" fontId="4" fillId="3" borderId="0" xfId="0" applyFont="1" applyFill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" fillId="3" borderId="0" xfId="0" applyNumberFormat="1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B05B-4675-49B6-80B2-0E63A4F8BED8}">
  <dimension ref="A1"/>
  <sheetViews>
    <sheetView tabSelected="1" workbookViewId="0">
      <selection activeCell="A3" sqref="A3"/>
    </sheetView>
  </sheetViews>
  <sheetFormatPr defaultRowHeight="12.75" x14ac:dyDescent="0.2"/>
  <cols>
    <col min="1" max="1" width="106.28515625" customWidth="1"/>
  </cols>
  <sheetData>
    <row r="1" spans="1:1" ht="38.25" x14ac:dyDescent="0.2">
      <c r="A1" s="13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ABF0-E3C3-4FA7-AFEF-06C4EAB2FA52}">
  <dimension ref="A1:U57"/>
  <sheetViews>
    <sheetView workbookViewId="0">
      <selection activeCell="G17" sqref="G17"/>
    </sheetView>
  </sheetViews>
  <sheetFormatPr defaultRowHeight="12.75" x14ac:dyDescent="0.2"/>
  <cols>
    <col min="1" max="1" width="10.28515625" bestFit="1" customWidth="1"/>
    <col min="2" max="3" width="11.28515625" bestFit="1" customWidth="1"/>
    <col min="4" max="4" width="5.140625" bestFit="1" customWidth="1"/>
    <col min="5" max="10" width="8.140625" bestFit="1" customWidth="1"/>
    <col min="11" max="12" width="6.85546875" bestFit="1" customWidth="1"/>
    <col min="13" max="13" width="7" bestFit="1" customWidth="1"/>
    <col min="14" max="15" width="7.42578125" bestFit="1" customWidth="1"/>
    <col min="16" max="17" width="8.140625" bestFit="1" customWidth="1"/>
    <col min="18" max="18" width="7.140625" bestFit="1" customWidth="1"/>
    <col min="19" max="21" width="8.140625" bestFit="1" customWidth="1"/>
  </cols>
  <sheetData>
    <row r="1" spans="1:21" ht="17.25" x14ac:dyDescent="0.2">
      <c r="A1" s="7"/>
      <c r="B1" s="7"/>
      <c r="C1" s="7"/>
      <c r="D1" s="8" t="s">
        <v>15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19</v>
      </c>
      <c r="N1" s="8" t="s">
        <v>20</v>
      </c>
      <c r="O1" s="8" t="s">
        <v>21</v>
      </c>
      <c r="P1" s="8" t="s">
        <v>13</v>
      </c>
      <c r="Q1" s="8" t="s">
        <v>14</v>
      </c>
      <c r="R1" s="8" t="s">
        <v>22</v>
      </c>
      <c r="S1" s="8" t="s">
        <v>16</v>
      </c>
      <c r="T1" s="7" t="s">
        <v>17</v>
      </c>
      <c r="U1" s="7" t="s">
        <v>18</v>
      </c>
    </row>
    <row r="2" spans="1:21" ht="17.25" x14ac:dyDescent="0.2">
      <c r="A2" s="8" t="s">
        <v>210</v>
      </c>
      <c r="B2" s="8" t="str">
        <f>A2</f>
        <v>AFR001</v>
      </c>
      <c r="C2" s="8" t="s">
        <v>210</v>
      </c>
      <c r="D2" s="7" t="s">
        <v>0</v>
      </c>
      <c r="E2" s="7">
        <v>116.16</v>
      </c>
      <c r="F2" s="7">
        <v>136.13</v>
      </c>
      <c r="G2" s="7">
        <v>105.35</v>
      </c>
      <c r="H2" s="7">
        <v>105.89</v>
      </c>
      <c r="I2" s="7">
        <v>122.61</v>
      </c>
      <c r="J2" s="7">
        <v>193.77</v>
      </c>
      <c r="K2" s="7">
        <v>63.43</v>
      </c>
      <c r="L2" s="7">
        <v>25.89</v>
      </c>
      <c r="M2" s="7">
        <v>51.73</v>
      </c>
      <c r="N2" s="7">
        <v>41.27</v>
      </c>
      <c r="O2" s="7">
        <v>31.75</v>
      </c>
      <c r="P2" s="7">
        <v>101.37</v>
      </c>
      <c r="Q2" s="7">
        <v>121.35</v>
      </c>
      <c r="R2" s="7">
        <v>68.11</v>
      </c>
      <c r="S2" s="7">
        <v>97.84</v>
      </c>
      <c r="T2" s="7">
        <v>140.34</v>
      </c>
      <c r="U2" s="7">
        <v>124.98</v>
      </c>
    </row>
    <row r="3" spans="1:21" ht="17.25" x14ac:dyDescent="0.2">
      <c r="A3" s="8" t="s">
        <v>211</v>
      </c>
      <c r="B3" s="8" t="str">
        <f t="shared" ref="B3:B47" si="0">A3</f>
        <v>AFR002</v>
      </c>
      <c r="C3" s="8" t="s">
        <v>211</v>
      </c>
      <c r="D3" s="7" t="s">
        <v>0</v>
      </c>
      <c r="E3" s="7">
        <v>122.79</v>
      </c>
      <c r="F3" s="7">
        <v>135.19</v>
      </c>
      <c r="G3" s="7">
        <v>103.6</v>
      </c>
      <c r="H3" s="7">
        <v>99.86</v>
      </c>
      <c r="I3" s="7">
        <v>116.53</v>
      </c>
      <c r="J3" s="7">
        <v>183.74</v>
      </c>
      <c r="K3" s="7">
        <v>66.77</v>
      </c>
      <c r="L3" s="7">
        <v>27.25</v>
      </c>
      <c r="M3" s="7">
        <v>50</v>
      </c>
      <c r="N3" s="7">
        <v>44.11</v>
      </c>
      <c r="O3" s="7">
        <v>34.06</v>
      </c>
      <c r="P3" s="7">
        <v>95.41</v>
      </c>
      <c r="Q3" s="7">
        <v>112.42</v>
      </c>
      <c r="R3" s="7">
        <v>63.68</v>
      </c>
      <c r="S3" s="7">
        <v>99.55</v>
      </c>
      <c r="T3" s="7">
        <v>135.6</v>
      </c>
      <c r="U3" s="7">
        <v>128.91</v>
      </c>
    </row>
    <row r="4" spans="1:21" ht="17.25" x14ac:dyDescent="0.2">
      <c r="A4" s="8" t="s">
        <v>212</v>
      </c>
      <c r="B4" s="8" t="str">
        <f t="shared" si="0"/>
        <v>AFR003</v>
      </c>
      <c r="C4" s="8" t="s">
        <v>212</v>
      </c>
      <c r="D4" s="7" t="s">
        <v>0</v>
      </c>
      <c r="E4" s="7">
        <v>122.59</v>
      </c>
      <c r="F4" s="7">
        <v>126.35</v>
      </c>
      <c r="G4" s="7">
        <v>96.13</v>
      </c>
      <c r="H4" s="7">
        <v>87.09</v>
      </c>
      <c r="I4" s="7">
        <v>105.02</v>
      </c>
      <c r="J4" s="7">
        <v>177.72</v>
      </c>
      <c r="K4" s="7">
        <v>60.13</v>
      </c>
      <c r="L4" s="7">
        <v>24.6</v>
      </c>
      <c r="M4" s="7">
        <v>53.28</v>
      </c>
      <c r="N4" s="7">
        <v>41.58</v>
      </c>
      <c r="O4" s="7">
        <v>35.61</v>
      </c>
      <c r="P4" s="7">
        <v>99.62</v>
      </c>
      <c r="Q4" s="7">
        <v>113.28</v>
      </c>
      <c r="R4" s="7">
        <v>65.510000000000005</v>
      </c>
      <c r="S4" s="7">
        <v>95.09</v>
      </c>
      <c r="T4" s="7">
        <v>140.25</v>
      </c>
      <c r="U4" s="7">
        <v>125.73</v>
      </c>
    </row>
    <row r="5" spans="1:21" ht="17.25" x14ac:dyDescent="0.2">
      <c r="A5" s="8" t="s">
        <v>213</v>
      </c>
      <c r="B5" s="8" t="str">
        <f t="shared" si="0"/>
        <v>AFR004</v>
      </c>
      <c r="C5" s="8" t="s">
        <v>213</v>
      </c>
      <c r="D5" s="7" t="s">
        <v>0</v>
      </c>
      <c r="E5" s="7">
        <v>110.56</v>
      </c>
      <c r="F5" s="7">
        <v>128.38</v>
      </c>
      <c r="G5" s="7">
        <v>93.43</v>
      </c>
      <c r="H5" s="7">
        <v>93</v>
      </c>
      <c r="I5" s="7">
        <v>112.17</v>
      </c>
      <c r="J5" s="7">
        <v>180.76</v>
      </c>
      <c r="K5" s="7">
        <v>58.51</v>
      </c>
      <c r="L5" s="7">
        <v>24.63</v>
      </c>
      <c r="M5" s="7">
        <v>52.5</v>
      </c>
      <c r="N5" s="7">
        <v>41.99</v>
      </c>
      <c r="O5" s="7">
        <v>38.159999999999997</v>
      </c>
      <c r="P5" s="7">
        <v>93.36</v>
      </c>
      <c r="Q5" s="7">
        <v>118.66</v>
      </c>
      <c r="R5" s="7">
        <v>67.89</v>
      </c>
      <c r="S5" s="7">
        <v>90.43</v>
      </c>
      <c r="T5" s="7">
        <v>133.16</v>
      </c>
      <c r="U5" s="7">
        <v>115.57</v>
      </c>
    </row>
    <row r="6" spans="1:21" ht="17.25" x14ac:dyDescent="0.2">
      <c r="A6" s="8" t="s">
        <v>214</v>
      </c>
      <c r="B6" s="8" t="str">
        <f t="shared" si="0"/>
        <v>AFR005</v>
      </c>
      <c r="C6" s="8" t="s">
        <v>214</v>
      </c>
      <c r="D6" s="7" t="s">
        <v>0</v>
      </c>
      <c r="E6" s="7">
        <v>123.88</v>
      </c>
      <c r="F6" s="7">
        <v>140.94</v>
      </c>
      <c r="G6" s="7">
        <v>101.02</v>
      </c>
      <c r="H6" s="7">
        <v>93.56</v>
      </c>
      <c r="I6" s="7">
        <v>111.23</v>
      </c>
      <c r="J6" s="7">
        <v>175.35</v>
      </c>
      <c r="K6" s="7">
        <v>63.79</v>
      </c>
      <c r="L6" s="7">
        <v>23.6</v>
      </c>
      <c r="M6" s="7">
        <v>53.97</v>
      </c>
      <c r="N6" s="7">
        <v>39.79</v>
      </c>
      <c r="O6" s="7">
        <v>33.68</v>
      </c>
      <c r="P6" s="7">
        <v>95.82</v>
      </c>
      <c r="Q6" s="7">
        <v>115.4</v>
      </c>
      <c r="R6" s="7">
        <v>69.260000000000005</v>
      </c>
      <c r="S6" s="7">
        <v>99.22</v>
      </c>
      <c r="T6" s="7">
        <v>141.99</v>
      </c>
      <c r="U6" s="7">
        <v>123.81</v>
      </c>
    </row>
    <row r="7" spans="1:21" ht="17.25" x14ac:dyDescent="0.2">
      <c r="A7" s="8" t="s">
        <v>215</v>
      </c>
      <c r="B7" s="8" t="str">
        <f t="shared" si="0"/>
        <v>AFR009</v>
      </c>
      <c r="C7" s="8" t="s">
        <v>215</v>
      </c>
      <c r="D7" s="7" t="s">
        <v>0</v>
      </c>
      <c r="E7" s="7">
        <v>117.22</v>
      </c>
      <c r="F7" s="7">
        <v>139.87</v>
      </c>
      <c r="G7" s="7">
        <v>109.19</v>
      </c>
      <c r="H7" s="7">
        <v>102.03</v>
      </c>
      <c r="I7" s="7">
        <v>116.07</v>
      </c>
      <c r="J7" s="7">
        <v>193.43</v>
      </c>
      <c r="K7" s="7">
        <v>59.44</v>
      </c>
      <c r="L7" s="7">
        <v>22.35</v>
      </c>
      <c r="M7" s="7">
        <v>50.6</v>
      </c>
      <c r="N7" s="7">
        <v>42.39</v>
      </c>
      <c r="O7" s="7">
        <v>34.74</v>
      </c>
      <c r="P7" s="7">
        <v>105.21</v>
      </c>
      <c r="Q7" s="7">
        <v>118.19</v>
      </c>
      <c r="R7" s="7">
        <v>66.84</v>
      </c>
      <c r="S7" s="7">
        <v>99.59</v>
      </c>
      <c r="T7" s="7">
        <v>132.72</v>
      </c>
      <c r="U7" s="7">
        <v>124.78</v>
      </c>
    </row>
    <row r="8" spans="1:21" ht="17.25" x14ac:dyDescent="0.2">
      <c r="A8" s="8" t="s">
        <v>216</v>
      </c>
      <c r="B8" s="8" t="str">
        <f t="shared" si="0"/>
        <v>AFR010</v>
      </c>
      <c r="C8" s="8" t="s">
        <v>216</v>
      </c>
      <c r="D8" s="7" t="s">
        <v>0</v>
      </c>
      <c r="E8" s="7">
        <v>129.63999999999999</v>
      </c>
      <c r="F8" s="7">
        <v>137.78</v>
      </c>
      <c r="G8" s="7">
        <v>106.51</v>
      </c>
      <c r="H8" s="7">
        <v>102.3</v>
      </c>
      <c r="I8" s="7">
        <v>108.85</v>
      </c>
      <c r="J8" s="7">
        <v>171.88</v>
      </c>
      <c r="K8" s="7">
        <v>71.11</v>
      </c>
      <c r="L8" s="7">
        <v>24.2</v>
      </c>
      <c r="M8" s="7">
        <v>53.16</v>
      </c>
      <c r="N8" s="7">
        <v>41.89</v>
      </c>
      <c r="O8" s="7">
        <v>36.130000000000003</v>
      </c>
      <c r="P8" s="7">
        <v>102.82</v>
      </c>
      <c r="Q8" s="7">
        <v>106.12</v>
      </c>
      <c r="R8" s="7">
        <v>72.31</v>
      </c>
      <c r="S8" s="7">
        <v>88.93</v>
      </c>
      <c r="T8" s="7">
        <v>139.88999999999999</v>
      </c>
      <c r="U8" s="7">
        <v>132.79</v>
      </c>
    </row>
    <row r="9" spans="1:21" ht="17.25" x14ac:dyDescent="0.2">
      <c r="A9" s="8" t="s">
        <v>217</v>
      </c>
      <c r="B9" s="8" t="str">
        <f t="shared" si="0"/>
        <v>AFR011</v>
      </c>
      <c r="C9" s="8" t="s">
        <v>217</v>
      </c>
      <c r="D9" s="7" t="s">
        <v>0</v>
      </c>
      <c r="E9" s="7">
        <v>119.17</v>
      </c>
      <c r="F9" s="7">
        <v>134.72999999999999</v>
      </c>
      <c r="G9" s="7">
        <v>107.59</v>
      </c>
      <c r="H9" s="7">
        <v>103.19</v>
      </c>
      <c r="I9" s="7">
        <v>113.12</v>
      </c>
      <c r="J9" s="7">
        <v>192.48</v>
      </c>
      <c r="K9" s="7">
        <v>58.83</v>
      </c>
      <c r="L9" s="7">
        <v>23.69</v>
      </c>
      <c r="M9" s="7">
        <v>52.85</v>
      </c>
      <c r="N9" s="7">
        <v>41.64</v>
      </c>
      <c r="O9" s="7">
        <v>35.43</v>
      </c>
      <c r="P9" s="7">
        <v>105.13</v>
      </c>
      <c r="Q9" s="7">
        <v>111.93</v>
      </c>
      <c r="R9" s="7">
        <v>66.569999999999993</v>
      </c>
      <c r="S9" s="7">
        <v>96.06</v>
      </c>
      <c r="T9" s="7">
        <v>128.57</v>
      </c>
      <c r="U9" s="7">
        <v>123.07</v>
      </c>
    </row>
    <row r="10" spans="1:21" ht="17.25" x14ac:dyDescent="0.2">
      <c r="A10" s="8" t="s">
        <v>218</v>
      </c>
      <c r="B10" s="8" t="str">
        <f t="shared" si="0"/>
        <v>AFR022</v>
      </c>
      <c r="C10" s="8" t="s">
        <v>218</v>
      </c>
      <c r="D10" s="7" t="s">
        <v>0</v>
      </c>
      <c r="E10" s="7">
        <v>111.12</v>
      </c>
      <c r="F10" s="7">
        <v>124.28</v>
      </c>
      <c r="G10" s="7">
        <v>100.04</v>
      </c>
      <c r="H10" s="7">
        <v>93.81</v>
      </c>
      <c r="I10" s="7">
        <v>109.09</v>
      </c>
      <c r="J10" s="7">
        <v>182.08</v>
      </c>
      <c r="K10" s="7">
        <v>63.95</v>
      </c>
      <c r="L10" s="7">
        <v>23.68</v>
      </c>
      <c r="M10" s="7">
        <v>49.3</v>
      </c>
      <c r="N10" s="7">
        <v>39.49</v>
      </c>
      <c r="O10" s="7">
        <v>31.26</v>
      </c>
      <c r="P10" s="7">
        <v>90.53</v>
      </c>
      <c r="Q10" s="7">
        <v>108.21</v>
      </c>
      <c r="R10" s="7">
        <v>64.64</v>
      </c>
      <c r="S10" s="7">
        <v>90.23</v>
      </c>
      <c r="T10" s="7">
        <v>130.61000000000001</v>
      </c>
      <c r="U10" s="7">
        <v>121.78</v>
      </c>
    </row>
    <row r="11" spans="1:21" ht="17.25" x14ac:dyDescent="0.2">
      <c r="A11" s="8" t="s">
        <v>219</v>
      </c>
      <c r="B11" s="8" t="str">
        <f t="shared" si="0"/>
        <v>AFR030</v>
      </c>
      <c r="C11" s="8" t="s">
        <v>219</v>
      </c>
      <c r="D11" s="7" t="s">
        <v>0</v>
      </c>
      <c r="E11" s="7">
        <v>114.95</v>
      </c>
      <c r="F11" s="7">
        <v>136.63</v>
      </c>
      <c r="G11" s="7">
        <v>107.09</v>
      </c>
      <c r="H11" s="7">
        <v>105.19</v>
      </c>
      <c r="I11" s="7">
        <v>112.51</v>
      </c>
      <c r="J11" s="7">
        <v>194.13</v>
      </c>
      <c r="K11" s="7">
        <v>67.540000000000006</v>
      </c>
      <c r="L11" s="7">
        <v>27.21</v>
      </c>
      <c r="M11" s="7">
        <v>48.91</v>
      </c>
      <c r="N11" s="7">
        <v>41.7</v>
      </c>
      <c r="O11" s="7">
        <v>32.69</v>
      </c>
      <c r="P11" s="7">
        <v>100.86</v>
      </c>
      <c r="Q11" s="7">
        <v>119.82</v>
      </c>
      <c r="R11" s="7">
        <v>69.58</v>
      </c>
      <c r="S11" s="7">
        <v>96.92</v>
      </c>
      <c r="T11" s="7">
        <v>134.87</v>
      </c>
      <c r="U11" s="7">
        <v>119.17</v>
      </c>
    </row>
    <row r="12" spans="1:21" ht="17.25" x14ac:dyDescent="0.2">
      <c r="A12" s="8" t="s">
        <v>220</v>
      </c>
      <c r="B12" s="8" t="str">
        <f t="shared" si="0"/>
        <v>AFR034</v>
      </c>
      <c r="C12" s="8" t="s">
        <v>220</v>
      </c>
      <c r="D12" s="7" t="s">
        <v>0</v>
      </c>
      <c r="E12" s="7">
        <v>117.96</v>
      </c>
      <c r="F12" s="7">
        <v>136.88</v>
      </c>
      <c r="G12" s="7">
        <v>104.34</v>
      </c>
      <c r="H12" s="7">
        <v>103.28</v>
      </c>
      <c r="I12" s="7">
        <v>113.18</v>
      </c>
      <c r="J12" s="7">
        <v>183.85</v>
      </c>
      <c r="K12" s="7">
        <v>64.84</v>
      </c>
      <c r="L12" s="7">
        <v>26.29</v>
      </c>
      <c r="M12" s="7">
        <v>52.9</v>
      </c>
      <c r="N12" s="7">
        <v>42.01</v>
      </c>
      <c r="O12" s="7">
        <v>30.78</v>
      </c>
      <c r="P12" s="7">
        <v>101.41</v>
      </c>
      <c r="Q12" s="7">
        <v>114.73</v>
      </c>
      <c r="R12" s="7">
        <v>70.42</v>
      </c>
      <c r="S12" s="7">
        <v>92.58</v>
      </c>
      <c r="T12" s="7">
        <v>133.74</v>
      </c>
      <c r="U12" s="7">
        <v>122.65</v>
      </c>
    </row>
    <row r="13" spans="1:21" ht="17.25" x14ac:dyDescent="0.2">
      <c r="A13" s="8" t="s">
        <v>221</v>
      </c>
      <c r="B13" s="8" t="str">
        <f t="shared" si="0"/>
        <v>AFR038</v>
      </c>
      <c r="C13" s="8" t="s">
        <v>221</v>
      </c>
      <c r="D13" s="7" t="s">
        <v>0</v>
      </c>
      <c r="E13" s="7">
        <v>115.39</v>
      </c>
      <c r="F13" s="7">
        <v>141.15</v>
      </c>
      <c r="G13" s="7">
        <v>104.17</v>
      </c>
      <c r="H13" s="7">
        <v>101.32</v>
      </c>
      <c r="I13" s="7">
        <v>112.57</v>
      </c>
      <c r="J13" s="7">
        <v>189.3</v>
      </c>
      <c r="K13" s="7">
        <v>67.91</v>
      </c>
      <c r="L13" s="7">
        <v>25.55</v>
      </c>
      <c r="M13" s="7">
        <v>49.65</v>
      </c>
      <c r="N13" s="7">
        <v>39.89</v>
      </c>
      <c r="O13" s="7">
        <v>31.49</v>
      </c>
      <c r="P13" s="7">
        <v>108.2</v>
      </c>
      <c r="Q13" s="7">
        <v>120.5</v>
      </c>
      <c r="R13" s="7">
        <v>68.59</v>
      </c>
      <c r="S13" s="7">
        <v>95.67</v>
      </c>
      <c r="T13" s="7">
        <v>134.02000000000001</v>
      </c>
      <c r="U13" s="7">
        <v>124.15</v>
      </c>
    </row>
    <row r="14" spans="1:21" ht="17.25" x14ac:dyDescent="0.2">
      <c r="A14" s="8" t="s">
        <v>222</v>
      </c>
      <c r="B14" s="8" t="str">
        <f t="shared" si="0"/>
        <v>AFR042</v>
      </c>
      <c r="C14" s="8" t="s">
        <v>222</v>
      </c>
      <c r="D14" s="7" t="s">
        <v>0</v>
      </c>
      <c r="E14" s="7">
        <v>113.58</v>
      </c>
      <c r="F14" s="7">
        <v>138.69</v>
      </c>
      <c r="G14" s="7">
        <v>102.73</v>
      </c>
      <c r="H14" s="7">
        <v>104.06</v>
      </c>
      <c r="I14" s="7">
        <v>110.13</v>
      </c>
      <c r="J14" s="7">
        <v>182.74</v>
      </c>
      <c r="K14" s="7">
        <v>63.04</v>
      </c>
      <c r="L14" s="7">
        <v>28.53</v>
      </c>
      <c r="M14" s="7">
        <v>48.51</v>
      </c>
      <c r="N14" s="7">
        <v>40.97</v>
      </c>
      <c r="O14" s="7">
        <v>34.31</v>
      </c>
      <c r="P14" s="7">
        <v>100.2</v>
      </c>
      <c r="Q14" s="7">
        <v>119.67</v>
      </c>
      <c r="R14" s="7">
        <v>64.069999999999993</v>
      </c>
      <c r="S14" s="7">
        <v>97.27</v>
      </c>
      <c r="T14" s="7">
        <v>133.31</v>
      </c>
      <c r="U14" s="7">
        <v>117.35</v>
      </c>
    </row>
    <row r="15" spans="1:21" ht="17.25" x14ac:dyDescent="0.2">
      <c r="A15" s="8" t="s">
        <v>223</v>
      </c>
      <c r="B15" s="8" t="str">
        <f t="shared" si="0"/>
        <v>AFR045</v>
      </c>
      <c r="C15" s="8" t="s">
        <v>223</v>
      </c>
      <c r="D15" s="7" t="s">
        <v>0</v>
      </c>
      <c r="E15" s="7">
        <v>118.73</v>
      </c>
      <c r="F15" s="7">
        <v>137.91</v>
      </c>
      <c r="G15" s="7">
        <v>101.24</v>
      </c>
      <c r="H15" s="7">
        <v>99.53</v>
      </c>
      <c r="I15" s="7">
        <v>109.67</v>
      </c>
      <c r="J15" s="7">
        <v>186.83</v>
      </c>
      <c r="K15" s="7">
        <v>60.24</v>
      </c>
      <c r="L15" s="7">
        <v>24.69</v>
      </c>
      <c r="M15" s="7">
        <v>48.92</v>
      </c>
      <c r="N15" s="7">
        <v>41.15</v>
      </c>
      <c r="O15" s="7">
        <v>35.44</v>
      </c>
      <c r="P15" s="7">
        <v>106.71</v>
      </c>
      <c r="Q15" s="7">
        <v>117.88</v>
      </c>
      <c r="R15" s="7">
        <v>66.03</v>
      </c>
      <c r="S15" s="7">
        <v>101.77</v>
      </c>
      <c r="T15" s="7">
        <v>142.11000000000001</v>
      </c>
      <c r="U15" s="7">
        <v>122.34</v>
      </c>
    </row>
    <row r="16" spans="1:21" ht="17.25" x14ac:dyDescent="0.2">
      <c r="A16" s="8" t="s">
        <v>224</v>
      </c>
      <c r="B16" s="8" t="str">
        <f t="shared" si="0"/>
        <v>AFR047</v>
      </c>
      <c r="C16" s="8" t="s">
        <v>224</v>
      </c>
      <c r="D16" s="7" t="s">
        <v>0</v>
      </c>
      <c r="E16" s="7">
        <v>120.93</v>
      </c>
      <c r="F16" s="7">
        <v>133.13</v>
      </c>
      <c r="G16" s="7">
        <v>92.61</v>
      </c>
      <c r="H16" s="7">
        <v>96.57</v>
      </c>
      <c r="I16" s="7">
        <v>114.8</v>
      </c>
      <c r="J16" s="7">
        <v>182.31</v>
      </c>
      <c r="K16" s="7">
        <v>64.13</v>
      </c>
      <c r="L16" s="7">
        <v>22.61</v>
      </c>
      <c r="M16" s="7">
        <v>49.17</v>
      </c>
      <c r="N16" s="7">
        <v>40.5</v>
      </c>
      <c r="O16" s="7">
        <v>37.17</v>
      </c>
      <c r="P16" s="7">
        <v>101.63</v>
      </c>
      <c r="Q16" s="7">
        <v>116.24</v>
      </c>
      <c r="R16" s="7">
        <v>74.41</v>
      </c>
      <c r="S16" s="7">
        <v>89.54</v>
      </c>
      <c r="T16" s="7">
        <v>140.11000000000001</v>
      </c>
      <c r="U16" s="7">
        <v>125.39</v>
      </c>
    </row>
    <row r="17" spans="1:21" ht="17.25" x14ac:dyDescent="0.2">
      <c r="A17" s="8" t="s">
        <v>225</v>
      </c>
      <c r="B17" s="8" t="str">
        <f t="shared" si="0"/>
        <v>AFR050</v>
      </c>
      <c r="C17" s="8" t="s">
        <v>225</v>
      </c>
      <c r="D17" s="7" t="s">
        <v>0</v>
      </c>
      <c r="E17" s="7">
        <v>117</v>
      </c>
      <c r="F17" s="7">
        <v>135.08000000000001</v>
      </c>
      <c r="G17" s="7">
        <v>97.48</v>
      </c>
      <c r="H17" s="7">
        <v>97.91</v>
      </c>
      <c r="I17" s="7">
        <v>108.44</v>
      </c>
      <c r="J17" s="7">
        <v>174.12</v>
      </c>
      <c r="K17" s="7">
        <v>68.89</v>
      </c>
      <c r="L17" s="7">
        <v>25.72</v>
      </c>
      <c r="M17" s="7">
        <v>51.85</v>
      </c>
      <c r="N17" s="7">
        <v>41.37</v>
      </c>
      <c r="O17" s="7">
        <v>38.18</v>
      </c>
      <c r="P17" s="7">
        <v>99.69</v>
      </c>
      <c r="Q17" s="7">
        <v>110.46</v>
      </c>
      <c r="R17" s="7">
        <v>70.23</v>
      </c>
      <c r="S17" s="7">
        <v>95.27</v>
      </c>
      <c r="T17" s="7">
        <v>128.36000000000001</v>
      </c>
      <c r="U17" s="7">
        <v>123.92</v>
      </c>
    </row>
    <row r="18" spans="1:21" ht="17.25" x14ac:dyDescent="0.2">
      <c r="A18" s="8" t="s">
        <v>226</v>
      </c>
      <c r="B18" s="8" t="str">
        <f t="shared" si="0"/>
        <v>AFR051</v>
      </c>
      <c r="C18" s="8" t="s">
        <v>226</v>
      </c>
      <c r="D18" s="7" t="s">
        <v>0</v>
      </c>
      <c r="E18" s="7">
        <v>115.38</v>
      </c>
      <c r="F18" s="7">
        <v>136.16999999999999</v>
      </c>
      <c r="G18" s="7">
        <v>105.55</v>
      </c>
      <c r="H18" s="7">
        <v>105.95</v>
      </c>
      <c r="I18" s="7">
        <v>105.66</v>
      </c>
      <c r="J18" s="7">
        <v>179.92</v>
      </c>
      <c r="K18" s="7">
        <v>66.17</v>
      </c>
      <c r="L18" s="7">
        <v>25.03</v>
      </c>
      <c r="M18" s="7">
        <v>50.71</v>
      </c>
      <c r="N18" s="7">
        <v>41.19</v>
      </c>
      <c r="O18" s="7">
        <v>33.96</v>
      </c>
      <c r="P18" s="7">
        <v>102.6</v>
      </c>
      <c r="Q18" s="7">
        <v>114.97</v>
      </c>
      <c r="R18" s="7">
        <v>67.41</v>
      </c>
      <c r="S18" s="7">
        <v>91.87</v>
      </c>
      <c r="T18" s="7">
        <v>135.78</v>
      </c>
      <c r="U18" s="7">
        <v>120.13</v>
      </c>
    </row>
    <row r="19" spans="1:21" ht="17.25" x14ac:dyDescent="0.2">
      <c r="A19" s="8" t="s">
        <v>227</v>
      </c>
      <c r="B19" s="8" t="str">
        <f t="shared" si="0"/>
        <v>AFR052</v>
      </c>
      <c r="C19" s="8" t="s">
        <v>227</v>
      </c>
      <c r="D19" s="7" t="s">
        <v>0</v>
      </c>
      <c r="E19" s="7">
        <v>119.25</v>
      </c>
      <c r="F19" s="7">
        <v>126.99</v>
      </c>
      <c r="G19" s="7">
        <v>105.02</v>
      </c>
      <c r="H19" s="7">
        <v>111.22</v>
      </c>
      <c r="I19" s="7">
        <v>103.72</v>
      </c>
      <c r="J19" s="7">
        <v>186.18</v>
      </c>
      <c r="K19" s="7">
        <v>67.13</v>
      </c>
      <c r="L19" s="7">
        <v>27.53</v>
      </c>
      <c r="M19" s="7">
        <v>49.06</v>
      </c>
      <c r="N19" s="7">
        <v>41.46</v>
      </c>
      <c r="O19" s="7">
        <v>33.14</v>
      </c>
      <c r="P19" s="7">
        <v>96.71</v>
      </c>
      <c r="Q19" s="7">
        <v>119.24</v>
      </c>
      <c r="R19" s="7">
        <v>65.239999999999995</v>
      </c>
      <c r="S19" s="7">
        <v>104.63</v>
      </c>
      <c r="T19" s="7">
        <v>139.12</v>
      </c>
      <c r="U19" s="7">
        <v>125.01</v>
      </c>
    </row>
    <row r="20" spans="1:21" ht="17.25" x14ac:dyDescent="0.2">
      <c r="A20" s="8" t="s">
        <v>228</v>
      </c>
      <c r="B20" s="8" t="str">
        <f t="shared" si="0"/>
        <v>AFR054</v>
      </c>
      <c r="C20" s="8" t="s">
        <v>228</v>
      </c>
      <c r="D20" s="7" t="s">
        <v>0</v>
      </c>
      <c r="E20" s="7">
        <v>118.93</v>
      </c>
      <c r="F20" s="7">
        <v>133.77000000000001</v>
      </c>
      <c r="G20" s="7">
        <v>105.05</v>
      </c>
      <c r="H20" s="7">
        <v>101.73</v>
      </c>
      <c r="I20" s="7">
        <v>109.03</v>
      </c>
      <c r="J20" s="7">
        <v>187.76</v>
      </c>
      <c r="K20" s="7">
        <v>71.69</v>
      </c>
      <c r="L20" s="7">
        <v>25.95</v>
      </c>
      <c r="M20" s="7">
        <v>49.64</v>
      </c>
      <c r="N20" s="7">
        <v>43.83</v>
      </c>
      <c r="O20" s="7">
        <v>33.82</v>
      </c>
      <c r="P20" s="7">
        <v>103.66</v>
      </c>
      <c r="Q20" s="7">
        <v>114.39</v>
      </c>
      <c r="R20" s="7">
        <v>67.66</v>
      </c>
      <c r="S20" s="7">
        <v>96.71</v>
      </c>
      <c r="T20" s="7">
        <v>133.68</v>
      </c>
      <c r="U20" s="7">
        <v>126.3</v>
      </c>
    </row>
    <row r="21" spans="1:21" ht="17.25" x14ac:dyDescent="0.2">
      <c r="A21" s="8" t="s">
        <v>229</v>
      </c>
      <c r="B21" s="8" t="str">
        <f t="shared" si="0"/>
        <v>AFR055</v>
      </c>
      <c r="C21" s="8" t="s">
        <v>229</v>
      </c>
      <c r="D21" s="7" t="s">
        <v>0</v>
      </c>
      <c r="E21" s="7">
        <v>115.57</v>
      </c>
      <c r="F21" s="7">
        <v>138.12</v>
      </c>
      <c r="G21" s="7">
        <v>99.17</v>
      </c>
      <c r="H21" s="7">
        <v>105.14</v>
      </c>
      <c r="I21" s="7">
        <v>113.7</v>
      </c>
      <c r="J21" s="7">
        <v>180.22</v>
      </c>
      <c r="K21" s="7">
        <v>71.849999999999994</v>
      </c>
      <c r="L21" s="7">
        <v>24.89</v>
      </c>
      <c r="M21" s="7">
        <v>49.24</v>
      </c>
      <c r="N21" s="7">
        <v>40.51</v>
      </c>
      <c r="O21" s="7">
        <v>33.31</v>
      </c>
      <c r="P21" s="7">
        <v>101.78</v>
      </c>
      <c r="Q21" s="7">
        <v>113.22</v>
      </c>
      <c r="R21" s="7">
        <v>67.010000000000005</v>
      </c>
      <c r="S21" s="7">
        <v>93.12</v>
      </c>
      <c r="T21" s="7">
        <v>129.38</v>
      </c>
      <c r="U21" s="7">
        <v>125.22</v>
      </c>
    </row>
    <row r="22" spans="1:21" ht="17.25" x14ac:dyDescent="0.2">
      <c r="A22" s="8" t="s">
        <v>230</v>
      </c>
      <c r="B22" s="8" t="str">
        <f t="shared" si="0"/>
        <v>AFR057</v>
      </c>
      <c r="C22" s="8" t="s">
        <v>230</v>
      </c>
      <c r="D22" s="7" t="s">
        <v>0</v>
      </c>
      <c r="E22" s="7">
        <v>117.08</v>
      </c>
      <c r="F22" s="7">
        <v>137.03</v>
      </c>
      <c r="G22" s="7">
        <v>104.77</v>
      </c>
      <c r="H22" s="7">
        <v>105.07</v>
      </c>
      <c r="I22" s="7">
        <v>118.83</v>
      </c>
      <c r="J22" s="7">
        <v>201.4</v>
      </c>
      <c r="K22" s="7">
        <v>63.56</v>
      </c>
      <c r="L22" s="7">
        <v>29.94</v>
      </c>
      <c r="M22" s="7">
        <v>51.69</v>
      </c>
      <c r="N22" s="7">
        <v>42.37</v>
      </c>
      <c r="O22" s="7">
        <v>33.880000000000003</v>
      </c>
      <c r="P22" s="7">
        <v>108.4</v>
      </c>
      <c r="Q22" s="7">
        <v>123.63</v>
      </c>
      <c r="R22" s="7">
        <v>68.47</v>
      </c>
      <c r="S22" s="7">
        <v>96.72</v>
      </c>
      <c r="T22" s="7">
        <v>135.63</v>
      </c>
      <c r="U22" s="7">
        <v>123.05</v>
      </c>
    </row>
    <row r="23" spans="1:21" ht="17.25" x14ac:dyDescent="0.2">
      <c r="A23" s="8" t="s">
        <v>231</v>
      </c>
      <c r="B23" s="8" t="str">
        <f t="shared" si="0"/>
        <v>AFR059</v>
      </c>
      <c r="C23" s="8" t="s">
        <v>231</v>
      </c>
      <c r="D23" s="7" t="s">
        <v>0</v>
      </c>
      <c r="E23" s="7">
        <v>117.91</v>
      </c>
      <c r="F23" s="7">
        <v>134.29</v>
      </c>
      <c r="G23" s="7">
        <v>102.52</v>
      </c>
      <c r="H23" s="7">
        <v>96.91</v>
      </c>
      <c r="I23" s="7">
        <v>115.44</v>
      </c>
      <c r="J23" s="7">
        <v>191.98</v>
      </c>
      <c r="K23" s="7">
        <v>66.22</v>
      </c>
      <c r="L23" s="7">
        <v>26.53</v>
      </c>
      <c r="M23" s="7">
        <v>48.54</v>
      </c>
      <c r="N23" s="7">
        <v>41.09</v>
      </c>
      <c r="O23" s="7">
        <v>36.450000000000003</v>
      </c>
      <c r="P23" s="7">
        <v>103.77</v>
      </c>
      <c r="Q23" s="7">
        <v>116.66</v>
      </c>
      <c r="R23" s="7">
        <v>63.1</v>
      </c>
      <c r="S23" s="7">
        <v>93.66</v>
      </c>
      <c r="T23" s="7">
        <v>133.37</v>
      </c>
      <c r="U23" s="7">
        <v>120.09</v>
      </c>
    </row>
    <row r="24" spans="1:21" ht="17.25" x14ac:dyDescent="0.2">
      <c r="A24" s="8" t="s">
        <v>232</v>
      </c>
      <c r="B24" s="8" t="str">
        <f t="shared" si="0"/>
        <v>AFR060</v>
      </c>
      <c r="C24" s="8" t="s">
        <v>232</v>
      </c>
      <c r="D24" s="7" t="s">
        <v>0</v>
      </c>
      <c r="E24" s="7">
        <v>116.87</v>
      </c>
      <c r="F24" s="7">
        <v>137.13</v>
      </c>
      <c r="G24" s="7">
        <v>105.87</v>
      </c>
      <c r="H24" s="7">
        <v>98.91</v>
      </c>
      <c r="I24" s="7">
        <v>111.13</v>
      </c>
      <c r="J24" s="7">
        <v>179.84</v>
      </c>
      <c r="K24" s="7">
        <v>64.290000000000006</v>
      </c>
      <c r="L24" s="7">
        <v>29.65</v>
      </c>
      <c r="M24" s="7">
        <v>53.09</v>
      </c>
      <c r="N24" s="7">
        <v>40.96</v>
      </c>
      <c r="O24" s="7">
        <v>33.729999999999997</v>
      </c>
      <c r="P24" s="7">
        <v>103.48</v>
      </c>
      <c r="Q24" s="7">
        <v>105.63</v>
      </c>
      <c r="R24" s="7">
        <v>66.540000000000006</v>
      </c>
      <c r="S24" s="7">
        <v>97.67</v>
      </c>
      <c r="T24" s="7">
        <v>134.4</v>
      </c>
      <c r="U24" s="7">
        <v>123.09</v>
      </c>
    </row>
    <row r="25" spans="1:21" ht="17.25" x14ac:dyDescent="0.2">
      <c r="A25" s="8" t="s">
        <v>233</v>
      </c>
      <c r="B25" s="8" t="str">
        <f t="shared" si="0"/>
        <v>AFR069</v>
      </c>
      <c r="C25" s="8" t="s">
        <v>233</v>
      </c>
      <c r="D25" s="7" t="s">
        <v>0</v>
      </c>
      <c r="E25" s="7">
        <v>113.47</v>
      </c>
      <c r="F25" s="7">
        <v>139</v>
      </c>
      <c r="G25" s="7">
        <v>99.36</v>
      </c>
      <c r="H25" s="7">
        <v>98.05</v>
      </c>
      <c r="I25" s="7">
        <v>108.42</v>
      </c>
      <c r="J25" s="7">
        <v>175.27</v>
      </c>
      <c r="K25" s="7">
        <v>58.31</v>
      </c>
      <c r="L25" s="7">
        <v>25.33</v>
      </c>
      <c r="M25" s="7">
        <v>53.26</v>
      </c>
      <c r="N25" s="7">
        <v>40.79</v>
      </c>
      <c r="O25" s="7">
        <v>35.53</v>
      </c>
      <c r="P25" s="7">
        <v>99.86</v>
      </c>
      <c r="Q25" s="7">
        <v>116.57</v>
      </c>
      <c r="R25" s="7">
        <v>73.14</v>
      </c>
      <c r="S25" s="7">
        <v>95.6</v>
      </c>
      <c r="T25" s="7">
        <v>139.07</v>
      </c>
      <c r="U25" s="7">
        <v>117.12</v>
      </c>
    </row>
    <row r="26" spans="1:21" ht="17.25" x14ac:dyDescent="0.2">
      <c r="A26" s="8" t="s">
        <v>234</v>
      </c>
      <c r="B26" s="8" t="str">
        <f t="shared" si="0"/>
        <v>AFR070</v>
      </c>
      <c r="C26" s="8" t="s">
        <v>234</v>
      </c>
      <c r="D26" s="7" t="s">
        <v>0</v>
      </c>
      <c r="E26" s="7">
        <v>122.29</v>
      </c>
      <c r="F26" s="7">
        <v>139.57</v>
      </c>
      <c r="G26" s="7">
        <v>107.1</v>
      </c>
      <c r="H26" s="7">
        <v>97.89</v>
      </c>
      <c r="I26" s="7">
        <v>106.2</v>
      </c>
      <c r="J26" s="7">
        <v>182.72</v>
      </c>
      <c r="K26" s="7">
        <v>69.34</v>
      </c>
      <c r="L26" s="7">
        <v>24.92</v>
      </c>
      <c r="M26" s="7">
        <v>53.07</v>
      </c>
      <c r="N26" s="7">
        <v>45.24</v>
      </c>
      <c r="O26" s="7">
        <v>36.590000000000003</v>
      </c>
      <c r="P26" s="7">
        <v>108.86</v>
      </c>
      <c r="Q26" s="7">
        <v>112.95</v>
      </c>
      <c r="R26" s="7">
        <v>68.13</v>
      </c>
      <c r="S26" s="7">
        <v>99.53</v>
      </c>
      <c r="T26" s="7">
        <v>140.03</v>
      </c>
      <c r="U26" s="7">
        <v>124.4</v>
      </c>
    </row>
    <row r="27" spans="1:21" ht="17.25" x14ac:dyDescent="0.2">
      <c r="A27" s="8" t="s">
        <v>235</v>
      </c>
      <c r="B27" s="8" t="str">
        <f t="shared" si="0"/>
        <v>AFR071</v>
      </c>
      <c r="C27" s="8" t="s">
        <v>235</v>
      </c>
      <c r="D27" s="7" t="s">
        <v>0</v>
      </c>
      <c r="E27" s="7">
        <v>127.28</v>
      </c>
      <c r="F27" s="7">
        <v>143.51</v>
      </c>
      <c r="G27" s="7">
        <v>104.12</v>
      </c>
      <c r="H27" s="7">
        <v>103.1</v>
      </c>
      <c r="I27" s="7">
        <v>112.48</v>
      </c>
      <c r="J27" s="7">
        <v>176.96</v>
      </c>
      <c r="K27" s="7">
        <v>68.28</v>
      </c>
      <c r="L27" s="7">
        <v>23.49</v>
      </c>
      <c r="M27" s="7">
        <v>49.13</v>
      </c>
      <c r="N27" s="7">
        <v>40.69</v>
      </c>
      <c r="O27" s="7">
        <v>34.049999999999997</v>
      </c>
      <c r="P27" s="7">
        <v>98.86</v>
      </c>
      <c r="Q27" s="7">
        <v>115.2</v>
      </c>
      <c r="R27" s="7">
        <v>68.14</v>
      </c>
      <c r="S27" s="7">
        <v>99.02</v>
      </c>
      <c r="T27" s="7">
        <v>139.76</v>
      </c>
      <c r="U27" s="7">
        <v>133.74</v>
      </c>
    </row>
    <row r="28" spans="1:21" ht="17.25" x14ac:dyDescent="0.2">
      <c r="A28" s="8" t="s">
        <v>236</v>
      </c>
      <c r="B28" s="8" t="str">
        <f t="shared" si="0"/>
        <v>AFR075</v>
      </c>
      <c r="C28" s="8" t="s">
        <v>236</v>
      </c>
      <c r="D28" s="7" t="s">
        <v>0</v>
      </c>
      <c r="E28" s="7">
        <v>114.46</v>
      </c>
      <c r="F28" s="7">
        <v>126.72</v>
      </c>
      <c r="G28" s="7">
        <v>94.43</v>
      </c>
      <c r="H28" s="7">
        <v>96.14</v>
      </c>
      <c r="I28" s="7">
        <v>103.26</v>
      </c>
      <c r="J28" s="7">
        <v>166.42</v>
      </c>
      <c r="K28" s="7">
        <v>62.09</v>
      </c>
      <c r="L28" s="7">
        <v>25.88</v>
      </c>
      <c r="M28" s="7">
        <v>45.26</v>
      </c>
      <c r="N28" s="7">
        <v>37.97</v>
      </c>
      <c r="O28" s="7">
        <v>31.49</v>
      </c>
      <c r="P28" s="7">
        <v>94.07</v>
      </c>
      <c r="Q28" s="7">
        <v>108.35</v>
      </c>
      <c r="R28" s="7">
        <v>59.71</v>
      </c>
      <c r="S28" s="7">
        <v>90.35</v>
      </c>
      <c r="T28" s="7">
        <v>131.52000000000001</v>
      </c>
      <c r="U28" s="7">
        <v>120.51</v>
      </c>
    </row>
    <row r="29" spans="1:21" ht="17.25" x14ac:dyDescent="0.2">
      <c r="A29" s="8" t="s">
        <v>237</v>
      </c>
      <c r="B29" s="8" t="str">
        <f t="shared" si="0"/>
        <v>AFR085</v>
      </c>
      <c r="C29" s="8" t="s">
        <v>237</v>
      </c>
      <c r="D29" s="7" t="s">
        <v>0</v>
      </c>
      <c r="E29" s="7">
        <v>117.86</v>
      </c>
      <c r="F29" s="7">
        <v>122.2</v>
      </c>
      <c r="G29" s="7">
        <v>97.77</v>
      </c>
      <c r="H29" s="7">
        <v>94.38</v>
      </c>
      <c r="I29" s="7">
        <v>102.13</v>
      </c>
      <c r="J29" s="7">
        <v>173.88</v>
      </c>
      <c r="K29" s="7">
        <v>60.23</v>
      </c>
      <c r="L29" s="7">
        <v>24.26</v>
      </c>
      <c r="M29" s="7">
        <v>54.99</v>
      </c>
      <c r="N29" s="7">
        <v>40.72</v>
      </c>
      <c r="O29" s="7">
        <v>38.520000000000003</v>
      </c>
      <c r="P29" s="7">
        <v>96</v>
      </c>
      <c r="Q29" s="7">
        <v>104.03</v>
      </c>
      <c r="R29" s="7">
        <v>73.03</v>
      </c>
      <c r="S29" s="7">
        <v>97.52</v>
      </c>
      <c r="T29" s="7">
        <v>135.05000000000001</v>
      </c>
      <c r="U29" s="7">
        <v>124.27</v>
      </c>
    </row>
    <row r="30" spans="1:21" ht="17.25" x14ac:dyDescent="0.2">
      <c r="A30" s="8" t="s">
        <v>238</v>
      </c>
      <c r="B30" s="8" t="str">
        <f t="shared" si="0"/>
        <v>AFR087</v>
      </c>
      <c r="C30" s="8" t="s">
        <v>238</v>
      </c>
      <c r="D30" s="7" t="s">
        <v>0</v>
      </c>
      <c r="E30" s="7">
        <v>119.2</v>
      </c>
      <c r="F30" s="7">
        <v>143.49</v>
      </c>
      <c r="G30" s="7">
        <v>105.89</v>
      </c>
      <c r="H30" s="7">
        <v>101.33</v>
      </c>
      <c r="I30" s="7">
        <v>109.91</v>
      </c>
      <c r="J30" s="7">
        <v>186.8</v>
      </c>
      <c r="K30" s="7">
        <v>58.93</v>
      </c>
      <c r="L30" s="7">
        <v>27.99</v>
      </c>
      <c r="M30" s="7">
        <v>51.84</v>
      </c>
      <c r="N30" s="7">
        <v>39.79</v>
      </c>
      <c r="O30" s="7">
        <v>30.97</v>
      </c>
      <c r="P30" s="7">
        <v>107.45</v>
      </c>
      <c r="Q30" s="7">
        <v>116.8</v>
      </c>
      <c r="R30" s="7">
        <v>64.75</v>
      </c>
      <c r="S30" s="7">
        <v>91.08</v>
      </c>
      <c r="T30" s="7">
        <v>136.04</v>
      </c>
      <c r="U30" s="7">
        <v>125.67</v>
      </c>
    </row>
    <row r="31" spans="1:21" ht="17.25" x14ac:dyDescent="0.2">
      <c r="A31" s="8" t="s">
        <v>239</v>
      </c>
      <c r="B31" s="8" t="str">
        <f t="shared" si="0"/>
        <v>AFR089</v>
      </c>
      <c r="C31" s="8" t="s">
        <v>239</v>
      </c>
      <c r="D31" s="7" t="s">
        <v>0</v>
      </c>
      <c r="E31" s="7">
        <v>126.51</v>
      </c>
      <c r="F31" s="7">
        <v>141.72999999999999</v>
      </c>
      <c r="G31" s="7">
        <v>105.34</v>
      </c>
      <c r="H31" s="7">
        <v>102.06</v>
      </c>
      <c r="I31" s="7">
        <v>106.84</v>
      </c>
      <c r="J31" s="7">
        <v>182.17</v>
      </c>
      <c r="K31" s="7">
        <v>68.599999999999994</v>
      </c>
      <c r="L31" s="7">
        <v>28.89</v>
      </c>
      <c r="M31" s="7">
        <v>57</v>
      </c>
      <c r="N31" s="7">
        <v>42.23</v>
      </c>
      <c r="O31" s="7">
        <v>36.96</v>
      </c>
      <c r="P31" s="7">
        <v>113.57</v>
      </c>
      <c r="Q31" s="7">
        <v>112.08</v>
      </c>
      <c r="R31" s="7">
        <v>80.27</v>
      </c>
      <c r="S31" s="7">
        <v>97.95</v>
      </c>
      <c r="T31" s="7">
        <v>141.52000000000001</v>
      </c>
      <c r="U31" s="7">
        <v>136.77000000000001</v>
      </c>
    </row>
    <row r="32" spans="1:21" ht="17.25" x14ac:dyDescent="0.2">
      <c r="A32" s="8" t="s">
        <v>240</v>
      </c>
      <c r="B32" s="8" t="str">
        <f t="shared" si="0"/>
        <v>AFR090</v>
      </c>
      <c r="C32" s="8" t="s">
        <v>240</v>
      </c>
      <c r="D32" s="7" t="s">
        <v>0</v>
      </c>
      <c r="E32" s="7">
        <v>122.32</v>
      </c>
      <c r="F32" s="7">
        <v>133.77000000000001</v>
      </c>
      <c r="G32" s="7">
        <v>102.07</v>
      </c>
      <c r="H32" s="7">
        <v>102.8</v>
      </c>
      <c r="I32" s="7">
        <v>112.26</v>
      </c>
      <c r="J32" s="7">
        <v>190.37</v>
      </c>
      <c r="K32" s="7">
        <v>67.650000000000006</v>
      </c>
      <c r="L32" s="7">
        <v>22.69</v>
      </c>
      <c r="M32" s="7">
        <v>48.96</v>
      </c>
      <c r="N32" s="7">
        <v>39.42</v>
      </c>
      <c r="O32" s="7">
        <v>33.619999999999997</v>
      </c>
      <c r="P32" s="7">
        <v>101.2</v>
      </c>
      <c r="Q32" s="7">
        <v>123.39</v>
      </c>
      <c r="R32" s="7">
        <v>66.13</v>
      </c>
      <c r="S32" s="7">
        <v>96.48</v>
      </c>
      <c r="T32" s="7">
        <v>136.12</v>
      </c>
      <c r="U32" s="7">
        <v>123.06</v>
      </c>
    </row>
    <row r="33" spans="1:21" ht="17.25" x14ac:dyDescent="0.2">
      <c r="A33" s="8" t="s">
        <v>241</v>
      </c>
      <c r="B33" s="8" t="str">
        <f t="shared" si="0"/>
        <v>AFR092</v>
      </c>
      <c r="C33" s="8" t="s">
        <v>241</v>
      </c>
      <c r="D33" s="7" t="s">
        <v>0</v>
      </c>
      <c r="E33" s="7">
        <v>117.48</v>
      </c>
      <c r="F33" s="7">
        <v>132.94</v>
      </c>
      <c r="G33" s="7">
        <v>97.54</v>
      </c>
      <c r="H33" s="7">
        <v>93.65</v>
      </c>
      <c r="I33" s="7">
        <v>108.08</v>
      </c>
      <c r="J33" s="7">
        <v>173.99</v>
      </c>
      <c r="K33" s="7">
        <v>62.87</v>
      </c>
      <c r="L33" s="7">
        <v>22.52</v>
      </c>
      <c r="M33" s="7">
        <v>52.39</v>
      </c>
      <c r="N33" s="7">
        <v>43.91</v>
      </c>
      <c r="O33" s="7">
        <v>31.56</v>
      </c>
      <c r="P33" s="7">
        <v>108.19</v>
      </c>
      <c r="Q33" s="7">
        <v>100.03</v>
      </c>
      <c r="R33" s="7">
        <v>68.459999999999994</v>
      </c>
      <c r="S33" s="7">
        <v>88.77</v>
      </c>
      <c r="T33" s="7">
        <v>130.35</v>
      </c>
      <c r="U33" s="7">
        <v>121.95</v>
      </c>
    </row>
    <row r="34" spans="1:21" ht="17.25" x14ac:dyDescent="0.2">
      <c r="A34" s="8" t="s">
        <v>242</v>
      </c>
      <c r="B34" s="8" t="str">
        <f t="shared" si="0"/>
        <v>AFR093</v>
      </c>
      <c r="C34" s="8" t="s">
        <v>242</v>
      </c>
      <c r="D34" s="7" t="s">
        <v>0</v>
      </c>
      <c r="E34" s="7">
        <v>116.57</v>
      </c>
      <c r="F34" s="7">
        <v>135.22999999999999</v>
      </c>
      <c r="G34" s="7">
        <v>99.92</v>
      </c>
      <c r="H34" s="7">
        <v>102.99</v>
      </c>
      <c r="I34" s="7">
        <v>107.16</v>
      </c>
      <c r="J34" s="7">
        <v>186.39</v>
      </c>
      <c r="K34" s="7">
        <v>65.06</v>
      </c>
      <c r="L34" s="7">
        <v>24.46</v>
      </c>
      <c r="M34" s="7">
        <v>48.79</v>
      </c>
      <c r="N34" s="7">
        <v>37.6</v>
      </c>
      <c r="O34" s="7">
        <v>33.39</v>
      </c>
      <c r="P34" s="7">
        <v>105.6</v>
      </c>
      <c r="Q34" s="7">
        <v>121.44</v>
      </c>
      <c r="R34" s="7">
        <v>67.05</v>
      </c>
      <c r="S34" s="7">
        <v>88.86</v>
      </c>
      <c r="T34" s="7">
        <v>135.44999999999999</v>
      </c>
      <c r="U34" s="7">
        <v>122.7</v>
      </c>
    </row>
    <row r="35" spans="1:21" ht="17.25" x14ac:dyDescent="0.2">
      <c r="A35" s="8" t="s">
        <v>243</v>
      </c>
      <c r="B35" s="8" t="str">
        <f t="shared" si="0"/>
        <v>AFR094</v>
      </c>
      <c r="C35" s="8" t="s">
        <v>243</v>
      </c>
      <c r="D35" s="7" t="s">
        <v>0</v>
      </c>
      <c r="E35" s="7">
        <v>116.44</v>
      </c>
      <c r="F35" s="7">
        <v>132.94999999999999</v>
      </c>
      <c r="G35" s="7">
        <v>99.57</v>
      </c>
      <c r="H35" s="7">
        <v>99.37</v>
      </c>
      <c r="I35" s="7">
        <v>109.51</v>
      </c>
      <c r="J35" s="7">
        <v>186.27</v>
      </c>
      <c r="K35" s="7">
        <v>65.06</v>
      </c>
      <c r="L35" s="7">
        <v>26.14</v>
      </c>
      <c r="M35" s="7">
        <v>50.18</v>
      </c>
      <c r="N35" s="7">
        <v>42.45</v>
      </c>
      <c r="O35" s="7">
        <v>34.61</v>
      </c>
      <c r="P35" s="7">
        <v>96.32</v>
      </c>
      <c r="Q35" s="7">
        <v>126.32</v>
      </c>
      <c r="R35" s="7">
        <v>64.13</v>
      </c>
      <c r="S35" s="7">
        <v>97.82</v>
      </c>
      <c r="T35" s="7">
        <v>140.94</v>
      </c>
      <c r="U35" s="7">
        <v>122.49</v>
      </c>
    </row>
    <row r="36" spans="1:21" ht="17.25" x14ac:dyDescent="0.2">
      <c r="A36" s="8" t="s">
        <v>244</v>
      </c>
      <c r="B36" s="8" t="str">
        <f t="shared" si="0"/>
        <v>AFR095</v>
      </c>
      <c r="C36" s="8" t="s">
        <v>244</v>
      </c>
      <c r="D36" s="7" t="s">
        <v>0</v>
      </c>
      <c r="E36" s="7">
        <v>117.53</v>
      </c>
      <c r="F36" s="7">
        <v>138.32</v>
      </c>
      <c r="G36" s="7">
        <v>107.98</v>
      </c>
      <c r="H36" s="7">
        <v>107.07</v>
      </c>
      <c r="I36" s="7">
        <v>109.62</v>
      </c>
      <c r="J36" s="7">
        <v>187.05</v>
      </c>
      <c r="K36" s="7">
        <v>66.33</v>
      </c>
      <c r="L36" s="7">
        <v>24.3</v>
      </c>
      <c r="M36" s="7">
        <v>48.36</v>
      </c>
      <c r="N36" s="7">
        <v>42.03</v>
      </c>
      <c r="O36" s="7">
        <v>32.630000000000003</v>
      </c>
      <c r="P36" s="7">
        <v>102.96</v>
      </c>
      <c r="Q36" s="7">
        <v>117.58</v>
      </c>
      <c r="R36" s="7">
        <v>69.180000000000007</v>
      </c>
      <c r="S36" s="7">
        <v>92.24</v>
      </c>
      <c r="T36" s="7">
        <v>135.19999999999999</v>
      </c>
      <c r="U36" s="7">
        <v>123.47</v>
      </c>
    </row>
    <row r="37" spans="1:21" ht="17.25" x14ac:dyDescent="0.2">
      <c r="A37" s="8" t="s">
        <v>245</v>
      </c>
      <c r="B37" s="8" t="str">
        <f t="shared" si="0"/>
        <v>AFR096</v>
      </c>
      <c r="C37" s="8" t="s">
        <v>245</v>
      </c>
      <c r="D37" s="7" t="s">
        <v>0</v>
      </c>
      <c r="E37" s="7">
        <v>122.44</v>
      </c>
      <c r="F37" s="7">
        <v>134.36000000000001</v>
      </c>
      <c r="G37" s="7">
        <v>101.04</v>
      </c>
      <c r="H37" s="7">
        <v>100.78</v>
      </c>
      <c r="I37" s="7">
        <v>108.33</v>
      </c>
      <c r="J37" s="7">
        <v>184.94</v>
      </c>
      <c r="K37" s="7">
        <v>61.08</v>
      </c>
      <c r="L37" s="7">
        <v>23.86</v>
      </c>
      <c r="M37" s="7">
        <v>51.34</v>
      </c>
      <c r="N37" s="7">
        <v>38.21</v>
      </c>
      <c r="O37" s="7">
        <v>35.04</v>
      </c>
      <c r="P37" s="7">
        <v>99.99</v>
      </c>
      <c r="Q37" s="7">
        <v>118.55</v>
      </c>
      <c r="R37" s="7">
        <v>69.3</v>
      </c>
      <c r="S37" s="7">
        <v>97.36</v>
      </c>
      <c r="T37" s="7">
        <v>137.88</v>
      </c>
      <c r="U37" s="7">
        <v>125.03</v>
      </c>
    </row>
    <row r="38" spans="1:21" ht="17.25" x14ac:dyDescent="0.2">
      <c r="A38" s="8" t="s">
        <v>246</v>
      </c>
      <c r="B38" s="8" t="str">
        <f t="shared" si="0"/>
        <v>AFR097</v>
      </c>
      <c r="C38" s="8" t="s">
        <v>246</v>
      </c>
      <c r="D38" s="7" t="s">
        <v>0</v>
      </c>
      <c r="E38" s="7">
        <v>119.79</v>
      </c>
      <c r="F38" s="7">
        <v>136.08000000000001</v>
      </c>
      <c r="G38" s="7">
        <v>102.17</v>
      </c>
      <c r="H38" s="7">
        <v>98.85</v>
      </c>
      <c r="I38" s="7">
        <v>112.18</v>
      </c>
      <c r="J38" s="7">
        <v>183.98</v>
      </c>
      <c r="K38" s="7">
        <v>61.66</v>
      </c>
      <c r="L38" s="7">
        <v>24.64</v>
      </c>
      <c r="M38" s="7">
        <v>50.7</v>
      </c>
      <c r="N38" s="7">
        <v>40.18</v>
      </c>
      <c r="O38" s="7">
        <v>35.409999999999997</v>
      </c>
      <c r="P38" s="7">
        <v>103.6</v>
      </c>
      <c r="Q38" s="7">
        <v>115.82</v>
      </c>
      <c r="R38" s="7">
        <v>70.7</v>
      </c>
      <c r="S38" s="7">
        <v>96.78</v>
      </c>
      <c r="T38" s="7">
        <v>136.91999999999999</v>
      </c>
      <c r="U38" s="7">
        <v>122.39</v>
      </c>
    </row>
    <row r="39" spans="1:21" ht="17.25" x14ac:dyDescent="0.2">
      <c r="A39" s="8" t="s">
        <v>247</v>
      </c>
      <c r="B39" s="8" t="str">
        <f t="shared" si="0"/>
        <v>AFR098</v>
      </c>
      <c r="C39" s="8" t="s">
        <v>247</v>
      </c>
      <c r="D39" s="7" t="s">
        <v>0</v>
      </c>
      <c r="E39" s="7">
        <v>112.37</v>
      </c>
      <c r="F39" s="7">
        <v>131.37</v>
      </c>
      <c r="G39" s="7">
        <v>98.71</v>
      </c>
      <c r="H39" s="7">
        <v>100.32</v>
      </c>
      <c r="I39" s="7">
        <v>105.88</v>
      </c>
      <c r="J39" s="7">
        <v>180.4</v>
      </c>
      <c r="K39" s="7">
        <v>63.06</v>
      </c>
      <c r="L39" s="7">
        <v>25.45</v>
      </c>
      <c r="M39" s="7">
        <v>45.61</v>
      </c>
      <c r="N39" s="7">
        <v>38.479999999999997</v>
      </c>
      <c r="O39" s="7">
        <v>34.909999999999997</v>
      </c>
      <c r="P39" s="7">
        <v>102.9</v>
      </c>
      <c r="Q39" s="7">
        <v>116.75</v>
      </c>
      <c r="R39" s="7">
        <v>60.41</v>
      </c>
      <c r="S39" s="7">
        <v>94.92</v>
      </c>
      <c r="T39" s="7">
        <v>139.51</v>
      </c>
      <c r="U39" s="7">
        <v>120.22</v>
      </c>
    </row>
    <row r="40" spans="1:21" ht="17.25" x14ac:dyDescent="0.2">
      <c r="A40" s="8" t="s">
        <v>248</v>
      </c>
      <c r="B40" s="8" t="str">
        <f t="shared" si="0"/>
        <v>AFR099</v>
      </c>
      <c r="C40" s="8" t="s">
        <v>248</v>
      </c>
      <c r="D40" s="7" t="s">
        <v>0</v>
      </c>
      <c r="E40" s="7">
        <v>121.32</v>
      </c>
      <c r="F40" s="7">
        <v>138.75</v>
      </c>
      <c r="G40" s="7">
        <v>104.36</v>
      </c>
      <c r="H40" s="7">
        <v>97.8</v>
      </c>
      <c r="I40" s="7">
        <v>107.46</v>
      </c>
      <c r="J40" s="7">
        <v>187.39</v>
      </c>
      <c r="K40" s="7">
        <v>66.180000000000007</v>
      </c>
      <c r="L40" s="7">
        <v>21.49</v>
      </c>
      <c r="M40" s="7">
        <v>46.07</v>
      </c>
      <c r="N40" s="7">
        <v>41.56</v>
      </c>
      <c r="O40" s="7">
        <v>35.28</v>
      </c>
      <c r="P40" s="7">
        <v>107.24</v>
      </c>
      <c r="Q40" s="7">
        <v>117.17</v>
      </c>
      <c r="R40" s="7">
        <v>66.959999999999994</v>
      </c>
      <c r="S40" s="7">
        <v>100.74</v>
      </c>
      <c r="T40" s="7">
        <v>142.71</v>
      </c>
      <c r="U40" s="7">
        <v>126.88</v>
      </c>
    </row>
    <row r="41" spans="1:21" ht="17.25" x14ac:dyDescent="0.2">
      <c r="A41" s="8" t="s">
        <v>249</v>
      </c>
      <c r="B41" s="8" t="str">
        <f t="shared" si="0"/>
        <v>AFR100</v>
      </c>
      <c r="C41" s="8" t="s">
        <v>249</v>
      </c>
      <c r="D41" s="7" t="s">
        <v>0</v>
      </c>
      <c r="E41" s="7">
        <v>119.2</v>
      </c>
      <c r="F41" s="7">
        <v>140.11000000000001</v>
      </c>
      <c r="G41" s="7">
        <v>110.6</v>
      </c>
      <c r="H41" s="7">
        <v>106.76</v>
      </c>
      <c r="I41" s="7">
        <v>110.12</v>
      </c>
      <c r="J41" s="7">
        <v>191.59</v>
      </c>
      <c r="K41" s="7">
        <v>59.97</v>
      </c>
      <c r="L41" s="7">
        <v>24.11</v>
      </c>
      <c r="M41" s="7">
        <v>49.87</v>
      </c>
      <c r="N41" s="7">
        <v>38.11</v>
      </c>
      <c r="O41" s="7">
        <v>32.08</v>
      </c>
      <c r="P41" s="7">
        <v>111.4</v>
      </c>
      <c r="Q41" s="7">
        <v>116.27</v>
      </c>
      <c r="R41" s="7">
        <v>61.56</v>
      </c>
      <c r="S41" s="7">
        <v>93.73</v>
      </c>
      <c r="T41" s="7">
        <v>133.47999999999999</v>
      </c>
      <c r="U41" s="7">
        <v>130.55000000000001</v>
      </c>
    </row>
    <row r="42" spans="1:21" ht="17.25" x14ac:dyDescent="0.2">
      <c r="A42" s="8" t="s">
        <v>250</v>
      </c>
      <c r="B42" s="8" t="str">
        <f t="shared" si="0"/>
        <v>AFR102</v>
      </c>
      <c r="C42" s="8" t="s">
        <v>250</v>
      </c>
      <c r="D42" s="7" t="s">
        <v>0</v>
      </c>
      <c r="E42" s="7">
        <v>115.13</v>
      </c>
      <c r="F42" s="7">
        <v>133.71</v>
      </c>
      <c r="G42" s="7">
        <v>96.25</v>
      </c>
      <c r="H42" s="7">
        <v>94.88</v>
      </c>
      <c r="I42" s="7">
        <v>109.9</v>
      </c>
      <c r="J42" s="7">
        <v>175.12</v>
      </c>
      <c r="K42" s="7">
        <v>62.03</v>
      </c>
      <c r="L42" s="7">
        <v>25.71</v>
      </c>
      <c r="M42" s="7">
        <v>48.14</v>
      </c>
      <c r="N42" s="7">
        <v>37.44</v>
      </c>
      <c r="O42" s="7">
        <v>31.88</v>
      </c>
      <c r="P42" s="7">
        <v>99</v>
      </c>
      <c r="Q42" s="7">
        <v>109.27</v>
      </c>
      <c r="R42" s="7">
        <v>64.59</v>
      </c>
      <c r="S42" s="7">
        <v>92.64</v>
      </c>
      <c r="T42" s="7">
        <v>139.29</v>
      </c>
      <c r="U42" s="7">
        <v>121.1</v>
      </c>
    </row>
    <row r="43" spans="1:21" ht="17.25" x14ac:dyDescent="0.2">
      <c r="A43" s="8" t="s">
        <v>251</v>
      </c>
      <c r="B43" s="8" t="str">
        <f t="shared" si="0"/>
        <v>AFR103</v>
      </c>
      <c r="C43" s="8" t="s">
        <v>251</v>
      </c>
      <c r="D43" s="7" t="s">
        <v>0</v>
      </c>
      <c r="E43" s="7">
        <v>120.76</v>
      </c>
      <c r="F43" s="7">
        <v>134.47999999999999</v>
      </c>
      <c r="G43" s="7">
        <v>102.55</v>
      </c>
      <c r="H43" s="7">
        <v>102.49</v>
      </c>
      <c r="I43" s="7">
        <v>109.6</v>
      </c>
      <c r="J43" s="7">
        <v>185.53</v>
      </c>
      <c r="K43" s="7">
        <v>67.63</v>
      </c>
      <c r="L43" s="7">
        <v>25.82</v>
      </c>
      <c r="M43" s="7">
        <v>52.42</v>
      </c>
      <c r="N43" s="7">
        <v>42.32</v>
      </c>
      <c r="O43" s="7">
        <v>35.340000000000003</v>
      </c>
      <c r="P43" s="7">
        <v>100.41</v>
      </c>
      <c r="Q43" s="7">
        <v>124.42</v>
      </c>
      <c r="R43" s="7">
        <v>68.02</v>
      </c>
      <c r="S43" s="7">
        <v>103.12</v>
      </c>
      <c r="T43" s="7">
        <v>141.69999999999999</v>
      </c>
      <c r="U43" s="7">
        <v>129.53</v>
      </c>
    </row>
    <row r="44" spans="1:21" ht="17.25" x14ac:dyDescent="0.2">
      <c r="A44" s="8" t="s">
        <v>252</v>
      </c>
      <c r="B44" s="8" t="str">
        <f t="shared" si="0"/>
        <v>AFR104</v>
      </c>
      <c r="C44" s="8" t="s">
        <v>252</v>
      </c>
      <c r="D44" s="7" t="s">
        <v>0</v>
      </c>
      <c r="E44" s="7">
        <v>116.59</v>
      </c>
      <c r="F44" s="7">
        <v>129.97</v>
      </c>
      <c r="G44" s="7">
        <v>102.91</v>
      </c>
      <c r="H44" s="7">
        <v>96.65</v>
      </c>
      <c r="I44" s="7">
        <v>108.25</v>
      </c>
      <c r="J44" s="7">
        <v>182.91</v>
      </c>
      <c r="K44" s="7">
        <v>60.73</v>
      </c>
      <c r="L44" s="7">
        <v>25.36</v>
      </c>
      <c r="M44" s="7">
        <v>50.55</v>
      </c>
      <c r="N44" s="7">
        <v>38.85</v>
      </c>
      <c r="O44" s="7">
        <v>36.24</v>
      </c>
      <c r="P44" s="7">
        <v>94.62</v>
      </c>
      <c r="Q44" s="7">
        <v>106.48</v>
      </c>
      <c r="R44" s="7">
        <v>68.58</v>
      </c>
      <c r="S44" s="7">
        <v>93.5</v>
      </c>
      <c r="T44" s="7">
        <v>135.47</v>
      </c>
      <c r="U44" s="7">
        <v>122.56</v>
      </c>
    </row>
    <row r="45" spans="1:21" ht="17.25" x14ac:dyDescent="0.2">
      <c r="A45" s="8" t="s">
        <v>253</v>
      </c>
      <c r="B45" s="8" t="str">
        <f t="shared" si="0"/>
        <v>AFR105</v>
      </c>
      <c r="C45" s="8" t="s">
        <v>253</v>
      </c>
      <c r="D45" s="7" t="s">
        <v>0</v>
      </c>
      <c r="E45" s="7">
        <v>114.94</v>
      </c>
      <c r="F45" s="7">
        <v>141.07</v>
      </c>
      <c r="G45" s="7">
        <v>107.51</v>
      </c>
      <c r="H45" s="7">
        <v>102.45</v>
      </c>
      <c r="I45" s="7">
        <v>112.04</v>
      </c>
      <c r="J45" s="7">
        <v>186.47</v>
      </c>
      <c r="K45" s="7">
        <v>65.540000000000006</v>
      </c>
      <c r="L45" s="7">
        <v>25.1</v>
      </c>
      <c r="M45" s="7">
        <v>49.8</v>
      </c>
      <c r="N45" s="7">
        <v>38.880000000000003</v>
      </c>
      <c r="O45" s="7">
        <v>33.549999999999997</v>
      </c>
      <c r="P45" s="7">
        <v>102.25</v>
      </c>
      <c r="Q45" s="7">
        <v>118.03</v>
      </c>
      <c r="R45" s="7">
        <v>66.72</v>
      </c>
      <c r="S45" s="7">
        <v>93.61</v>
      </c>
      <c r="T45" s="7">
        <v>142.22</v>
      </c>
      <c r="U45" s="7">
        <v>121.36</v>
      </c>
    </row>
    <row r="46" spans="1:21" ht="17.25" x14ac:dyDescent="0.2">
      <c r="A46" s="8" t="s">
        <v>254</v>
      </c>
      <c r="B46" s="8" t="str">
        <f t="shared" si="0"/>
        <v>AFR106</v>
      </c>
      <c r="C46" s="8" t="s">
        <v>254</v>
      </c>
      <c r="D46" s="7" t="s">
        <v>0</v>
      </c>
      <c r="E46" s="7">
        <v>126.85</v>
      </c>
      <c r="F46" s="7">
        <v>146.56</v>
      </c>
      <c r="G46" s="7">
        <v>101.39</v>
      </c>
      <c r="H46" s="7">
        <v>99.29</v>
      </c>
      <c r="I46" s="7">
        <v>121.77</v>
      </c>
      <c r="J46" s="7">
        <v>189.84</v>
      </c>
      <c r="K46" s="7">
        <v>69.959999999999994</v>
      </c>
      <c r="L46" s="7">
        <v>26.96</v>
      </c>
      <c r="M46" s="7">
        <v>51.38</v>
      </c>
      <c r="N46" s="7">
        <v>44.49</v>
      </c>
      <c r="O46" s="7">
        <v>35.53</v>
      </c>
      <c r="P46" s="7">
        <v>107.22</v>
      </c>
      <c r="Q46" s="7">
        <v>123.21</v>
      </c>
      <c r="R46" s="7">
        <v>66.709999999999994</v>
      </c>
      <c r="S46" s="7">
        <v>100.26</v>
      </c>
      <c r="T46" s="7">
        <v>149</v>
      </c>
      <c r="U46" s="7">
        <v>129.25</v>
      </c>
    </row>
    <row r="47" spans="1:21" ht="17.25" x14ac:dyDescent="0.2">
      <c r="A47" s="8" t="s">
        <v>255</v>
      </c>
      <c r="B47" s="8" t="str">
        <f t="shared" si="0"/>
        <v>AFR107</v>
      </c>
      <c r="C47" s="8" t="s">
        <v>255</v>
      </c>
      <c r="D47" s="7" t="s">
        <v>0</v>
      </c>
      <c r="E47" s="7">
        <v>120.08</v>
      </c>
      <c r="F47" s="7">
        <v>133.49</v>
      </c>
      <c r="G47" s="7">
        <v>100.9</v>
      </c>
      <c r="H47" s="7">
        <v>106</v>
      </c>
      <c r="I47" s="7">
        <v>109.32</v>
      </c>
      <c r="J47" s="7">
        <v>190.35</v>
      </c>
      <c r="K47" s="7">
        <v>60.98</v>
      </c>
      <c r="L47" s="7">
        <v>24.47</v>
      </c>
      <c r="M47" s="7">
        <v>52.48</v>
      </c>
      <c r="N47" s="7">
        <v>41.47</v>
      </c>
      <c r="O47" s="7">
        <v>33.979999999999997</v>
      </c>
      <c r="P47" s="7">
        <v>106.17</v>
      </c>
      <c r="Q47" s="7">
        <v>116.84</v>
      </c>
      <c r="R47" s="7">
        <v>71.14</v>
      </c>
      <c r="S47" s="7">
        <v>100.55</v>
      </c>
      <c r="T47" s="7">
        <v>146.22</v>
      </c>
      <c r="U47" s="7">
        <v>122.93</v>
      </c>
    </row>
    <row r="48" spans="1:21" ht="17.25" x14ac:dyDescent="0.2">
      <c r="A48" s="8" t="s">
        <v>256</v>
      </c>
      <c r="B48" s="8" t="str">
        <f>"AFRH"&amp;RIGHT(A48,3)</f>
        <v>AFRH100</v>
      </c>
      <c r="C48" s="8" t="s">
        <v>257</v>
      </c>
      <c r="D48" s="7" t="s">
        <v>0</v>
      </c>
      <c r="E48" s="7">
        <v>119.89</v>
      </c>
      <c r="F48" s="7">
        <v>138.78</v>
      </c>
      <c r="G48" s="7">
        <v>102.11</v>
      </c>
      <c r="H48" s="7">
        <v>99.98</v>
      </c>
      <c r="I48" s="7">
        <v>106.56</v>
      </c>
      <c r="J48" s="7">
        <v>178.95</v>
      </c>
      <c r="K48" s="7">
        <v>57.08</v>
      </c>
      <c r="L48" s="7">
        <v>24.19</v>
      </c>
      <c r="M48" s="7">
        <v>48.74</v>
      </c>
      <c r="N48" s="7">
        <v>41.51</v>
      </c>
      <c r="O48" s="7">
        <v>33.85</v>
      </c>
      <c r="P48" s="7">
        <v>101.46</v>
      </c>
      <c r="Q48" s="7">
        <v>111.45</v>
      </c>
      <c r="R48" s="7">
        <v>64.680000000000007</v>
      </c>
      <c r="S48" s="7">
        <v>103.58</v>
      </c>
      <c r="T48" s="7">
        <v>136.1</v>
      </c>
      <c r="U48" s="7">
        <v>125.42</v>
      </c>
    </row>
    <row r="49" spans="1:21" ht="17.25" x14ac:dyDescent="0.2">
      <c r="A49" s="8" t="s">
        <v>258</v>
      </c>
      <c r="B49" s="8" t="str">
        <f>"AFRH0"&amp;RIGHT(A49,2)</f>
        <v>AFRH052</v>
      </c>
      <c r="C49" s="8" t="str">
        <f>"AFRH0"&amp;RIGHT(B49,2)</f>
        <v>AFRH052</v>
      </c>
      <c r="D49" s="7" t="s">
        <v>0</v>
      </c>
      <c r="E49" s="7">
        <v>119.15</v>
      </c>
      <c r="F49" s="7">
        <v>131.51</v>
      </c>
      <c r="G49" s="7">
        <v>98.57</v>
      </c>
      <c r="H49" s="7">
        <v>97.98</v>
      </c>
      <c r="I49" s="7">
        <v>106.38</v>
      </c>
      <c r="J49" s="7">
        <v>185.14</v>
      </c>
      <c r="K49" s="7">
        <v>59.43</v>
      </c>
      <c r="L49" s="7">
        <v>24.32</v>
      </c>
      <c r="M49" s="7">
        <v>53.05</v>
      </c>
      <c r="N49" s="7">
        <v>38.39</v>
      </c>
      <c r="O49" s="7">
        <v>38.479999999999997</v>
      </c>
      <c r="P49" s="7">
        <v>95.85</v>
      </c>
      <c r="Q49" s="7">
        <v>114.81</v>
      </c>
      <c r="R49" s="7">
        <v>67.62</v>
      </c>
      <c r="S49" s="7">
        <v>99.63</v>
      </c>
      <c r="T49" s="7">
        <v>130.83000000000001</v>
      </c>
      <c r="U49" s="7">
        <v>126.21</v>
      </c>
    </row>
    <row r="50" spans="1:21" ht="17.25" x14ac:dyDescent="0.2">
      <c r="A50" s="8" t="s">
        <v>259</v>
      </c>
      <c r="B50" s="8" t="str">
        <f t="shared" ref="B50:C57" si="1">"AFRH0"&amp;RIGHT(A50,2)</f>
        <v>AFRH069</v>
      </c>
      <c r="C50" s="8" t="str">
        <f t="shared" si="1"/>
        <v>AFRH069</v>
      </c>
      <c r="D50" s="7" t="s">
        <v>0</v>
      </c>
      <c r="E50" s="7">
        <v>118.83</v>
      </c>
      <c r="F50" s="7">
        <v>137.53</v>
      </c>
      <c r="G50" s="7">
        <v>104.37</v>
      </c>
      <c r="H50" s="7">
        <v>99.62</v>
      </c>
      <c r="I50" s="7">
        <v>110.39</v>
      </c>
      <c r="J50" s="7">
        <v>180.4</v>
      </c>
      <c r="K50" s="7">
        <v>62.88</v>
      </c>
      <c r="L50" s="7">
        <v>25.77</v>
      </c>
      <c r="M50" s="7">
        <v>49.62</v>
      </c>
      <c r="N50" s="7">
        <v>38.47</v>
      </c>
      <c r="O50" s="7">
        <v>34.79</v>
      </c>
      <c r="P50" s="7">
        <v>99.21</v>
      </c>
      <c r="Q50" s="7">
        <v>117.66</v>
      </c>
      <c r="R50" s="7">
        <v>65.400000000000006</v>
      </c>
      <c r="S50" s="7">
        <v>97.59</v>
      </c>
      <c r="T50" s="7">
        <v>134.18</v>
      </c>
      <c r="U50" s="7">
        <v>124.01</v>
      </c>
    </row>
    <row r="51" spans="1:21" ht="17.25" x14ac:dyDescent="0.2">
      <c r="A51" s="8" t="s">
        <v>260</v>
      </c>
      <c r="B51" s="8" t="str">
        <f t="shared" si="1"/>
        <v>AFRH077</v>
      </c>
      <c r="C51" s="8" t="str">
        <f t="shared" si="1"/>
        <v>AFRH077</v>
      </c>
      <c r="D51" s="7" t="s">
        <v>0</v>
      </c>
      <c r="E51" s="7">
        <v>114.55</v>
      </c>
      <c r="F51" s="7">
        <v>130.33000000000001</v>
      </c>
      <c r="G51" s="7">
        <v>103.52</v>
      </c>
      <c r="H51" s="7">
        <v>109.11</v>
      </c>
      <c r="I51" s="7">
        <v>101.39</v>
      </c>
      <c r="J51" s="7">
        <v>172.53</v>
      </c>
      <c r="K51" s="7">
        <v>63.76</v>
      </c>
      <c r="L51" s="7">
        <v>27.86</v>
      </c>
      <c r="M51" s="7">
        <v>53.98</v>
      </c>
      <c r="N51" s="7">
        <v>44.6</v>
      </c>
      <c r="O51" s="7">
        <v>32.700000000000003</v>
      </c>
      <c r="P51" s="7">
        <v>94.65</v>
      </c>
      <c r="Q51" s="7">
        <v>107.32</v>
      </c>
      <c r="R51" s="7">
        <v>71.42</v>
      </c>
      <c r="S51" s="7">
        <v>96.84</v>
      </c>
      <c r="T51" s="7">
        <v>138.31</v>
      </c>
      <c r="U51" s="7">
        <v>124.77</v>
      </c>
    </row>
    <row r="52" spans="1:21" ht="17.25" x14ac:dyDescent="0.2">
      <c r="A52" s="8" t="s">
        <v>261</v>
      </c>
      <c r="B52" s="8" t="str">
        <f t="shared" si="1"/>
        <v>AFRH078</v>
      </c>
      <c r="C52" s="8" t="str">
        <f t="shared" si="1"/>
        <v>AFRH078</v>
      </c>
      <c r="D52" s="7" t="s">
        <v>0</v>
      </c>
      <c r="E52" s="7">
        <v>118.82</v>
      </c>
      <c r="F52" s="7">
        <v>134.77000000000001</v>
      </c>
      <c r="G52" s="7">
        <v>102.67</v>
      </c>
      <c r="H52" s="7">
        <v>103.94</v>
      </c>
      <c r="I52" s="7">
        <v>107.89</v>
      </c>
      <c r="J52" s="7">
        <v>186.08</v>
      </c>
      <c r="K52" s="7">
        <v>65.03</v>
      </c>
      <c r="L52" s="7">
        <v>27.07</v>
      </c>
      <c r="M52" s="7">
        <v>46.76</v>
      </c>
      <c r="N52" s="7">
        <v>42.44</v>
      </c>
      <c r="O52" s="7">
        <v>31.52</v>
      </c>
      <c r="P52" s="7">
        <v>102.52</v>
      </c>
      <c r="Q52" s="7">
        <v>119.46</v>
      </c>
      <c r="R52" s="7">
        <v>61.48</v>
      </c>
      <c r="S52" s="7">
        <v>92.79</v>
      </c>
      <c r="T52" s="7">
        <v>136.22999999999999</v>
      </c>
      <c r="U52" s="7">
        <v>123.8</v>
      </c>
    </row>
    <row r="53" spans="1:21" ht="17.25" x14ac:dyDescent="0.2">
      <c r="A53" s="8" t="s">
        <v>262</v>
      </c>
      <c r="B53" s="8" t="str">
        <f t="shared" si="1"/>
        <v>AFRH089</v>
      </c>
      <c r="C53" s="8" t="str">
        <f t="shared" si="1"/>
        <v>AFRH089</v>
      </c>
      <c r="D53" s="7" t="s">
        <v>0</v>
      </c>
      <c r="E53" s="7">
        <v>108.05</v>
      </c>
      <c r="F53" s="7">
        <v>135.6</v>
      </c>
      <c r="G53" s="7">
        <v>97.73</v>
      </c>
      <c r="H53" s="7">
        <v>98.4</v>
      </c>
      <c r="I53" s="7">
        <v>108.38</v>
      </c>
      <c r="J53" s="7">
        <v>179.59</v>
      </c>
      <c r="K53" s="7">
        <v>66.47</v>
      </c>
      <c r="L53" s="7">
        <v>24.63</v>
      </c>
      <c r="M53" s="7">
        <v>48.68</v>
      </c>
      <c r="N53" s="7">
        <v>41.51</v>
      </c>
      <c r="O53" s="7">
        <v>34.89</v>
      </c>
      <c r="P53" s="7">
        <v>104.95</v>
      </c>
      <c r="Q53" s="7">
        <v>110.22</v>
      </c>
      <c r="R53" s="7">
        <v>68.69</v>
      </c>
      <c r="S53" s="7">
        <v>88.82</v>
      </c>
      <c r="T53" s="7">
        <v>125.16</v>
      </c>
      <c r="U53" s="7">
        <v>114.53</v>
      </c>
    </row>
    <row r="54" spans="1:21" ht="17.25" x14ac:dyDescent="0.2">
      <c r="A54" s="8" t="s">
        <v>263</v>
      </c>
      <c r="B54" s="8" t="str">
        <f t="shared" si="1"/>
        <v>AFRH095</v>
      </c>
      <c r="C54" s="8" t="str">
        <f t="shared" si="1"/>
        <v>AFRH095</v>
      </c>
      <c r="D54" s="7" t="s">
        <v>0</v>
      </c>
      <c r="E54" s="7">
        <v>119.52</v>
      </c>
      <c r="F54" s="7">
        <v>137.88</v>
      </c>
      <c r="G54" s="7">
        <v>105.03</v>
      </c>
      <c r="H54" s="7">
        <v>106.3</v>
      </c>
      <c r="I54" s="7">
        <v>110.84</v>
      </c>
      <c r="J54" s="7">
        <v>191.19</v>
      </c>
      <c r="K54" s="7">
        <v>61.31</v>
      </c>
      <c r="L54" s="7">
        <v>24.15</v>
      </c>
      <c r="M54" s="7">
        <v>51.98</v>
      </c>
      <c r="N54" s="7">
        <v>43.14</v>
      </c>
      <c r="O54" s="7">
        <v>34.21</v>
      </c>
      <c r="P54" s="7">
        <v>100.88</v>
      </c>
      <c r="Q54" s="7">
        <v>124.29</v>
      </c>
      <c r="R54" s="7">
        <v>72.97</v>
      </c>
      <c r="S54" s="7">
        <v>100.15</v>
      </c>
      <c r="T54" s="7">
        <v>139.08000000000001</v>
      </c>
      <c r="U54" s="7">
        <v>124.85</v>
      </c>
    </row>
    <row r="55" spans="1:21" ht="17.25" x14ac:dyDescent="0.2">
      <c r="A55" s="8" t="s">
        <v>264</v>
      </c>
      <c r="B55" s="8" t="str">
        <f t="shared" si="1"/>
        <v>AFRH096</v>
      </c>
      <c r="C55" s="8" t="str">
        <f t="shared" si="1"/>
        <v>AFRH096</v>
      </c>
      <c r="D55" s="7" t="s">
        <v>0</v>
      </c>
      <c r="E55" s="7">
        <v>113.61</v>
      </c>
      <c r="F55" s="7">
        <v>145.31</v>
      </c>
      <c r="G55" s="7">
        <v>100.35</v>
      </c>
      <c r="H55" s="7">
        <v>91.63</v>
      </c>
      <c r="I55" s="7">
        <v>118.19</v>
      </c>
      <c r="J55" s="7">
        <v>184.59</v>
      </c>
      <c r="K55" s="7">
        <v>62.71</v>
      </c>
      <c r="L55" s="7">
        <v>25.51</v>
      </c>
      <c r="M55" s="7">
        <v>51.73</v>
      </c>
      <c r="N55" s="7">
        <v>37.9</v>
      </c>
      <c r="O55" s="7">
        <v>35.549999999999997</v>
      </c>
      <c r="P55" s="7">
        <v>105.43</v>
      </c>
      <c r="Q55" s="7">
        <v>114.91</v>
      </c>
      <c r="R55" s="7">
        <v>66.86</v>
      </c>
      <c r="S55" s="7">
        <v>94.44</v>
      </c>
      <c r="T55" s="7">
        <v>134.9</v>
      </c>
      <c r="U55" s="7">
        <v>119.02</v>
      </c>
    </row>
    <row r="56" spans="1:21" ht="17.25" x14ac:dyDescent="0.2">
      <c r="A56" s="8" t="s">
        <v>265</v>
      </c>
      <c r="B56" s="8" t="str">
        <f t="shared" si="1"/>
        <v>AFRH098</v>
      </c>
      <c r="C56" s="8" t="str">
        <f t="shared" si="1"/>
        <v>AFRH098</v>
      </c>
      <c r="D56" s="7" t="s">
        <v>0</v>
      </c>
      <c r="E56" s="7">
        <v>123.44</v>
      </c>
      <c r="F56" s="7">
        <v>139.53</v>
      </c>
      <c r="G56" s="7">
        <v>100.29</v>
      </c>
      <c r="H56" s="7">
        <v>97.55</v>
      </c>
      <c r="I56" s="7">
        <v>122.23</v>
      </c>
      <c r="J56" s="7">
        <v>187.87</v>
      </c>
      <c r="K56" s="7">
        <v>67.02</v>
      </c>
      <c r="L56" s="7">
        <v>26.21</v>
      </c>
      <c r="M56" s="7">
        <v>50.12</v>
      </c>
      <c r="N56" s="7">
        <v>41.45</v>
      </c>
      <c r="O56" s="7">
        <v>36.200000000000003</v>
      </c>
      <c r="P56" s="7">
        <v>105.41</v>
      </c>
      <c r="Q56" s="7">
        <v>115.15</v>
      </c>
      <c r="R56" s="7">
        <v>71.87</v>
      </c>
      <c r="S56" s="7">
        <v>103.42</v>
      </c>
      <c r="T56" s="7">
        <v>141.08000000000001</v>
      </c>
      <c r="U56" s="7">
        <v>128.12</v>
      </c>
    </row>
    <row r="57" spans="1:21" ht="17.25" x14ac:dyDescent="0.2">
      <c r="A57" s="8" t="s">
        <v>266</v>
      </c>
      <c r="B57" s="8" t="str">
        <f t="shared" si="1"/>
        <v>AFRH099</v>
      </c>
      <c r="C57" s="8" t="str">
        <f t="shared" si="1"/>
        <v>AFRH099</v>
      </c>
      <c r="D57" s="7" t="s">
        <v>0</v>
      </c>
      <c r="E57" s="7">
        <v>119.03</v>
      </c>
      <c r="F57" s="7">
        <v>138.13999999999999</v>
      </c>
      <c r="G57" s="7">
        <v>100.62</v>
      </c>
      <c r="H57" s="7">
        <v>97.5</v>
      </c>
      <c r="I57" s="7">
        <v>104.82</v>
      </c>
      <c r="J57" s="7">
        <v>186.63</v>
      </c>
      <c r="K57" s="7">
        <v>66.47</v>
      </c>
      <c r="L57" s="7">
        <v>24.94</v>
      </c>
      <c r="M57" s="7">
        <v>48.58</v>
      </c>
      <c r="N57" s="7">
        <v>40.299999999999997</v>
      </c>
      <c r="O57" s="7">
        <v>36.020000000000003</v>
      </c>
      <c r="P57" s="7">
        <v>107.71</v>
      </c>
      <c r="Q57" s="7">
        <v>114.69</v>
      </c>
      <c r="R57" s="7">
        <v>65.02</v>
      </c>
      <c r="S57" s="7">
        <v>98.57</v>
      </c>
      <c r="T57" s="7">
        <v>137</v>
      </c>
      <c r="U57" s="7">
        <v>123.67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F4B1-4BF0-4BC8-AD94-D4038A2507BB}">
  <dimension ref="A1:W46"/>
  <sheetViews>
    <sheetView workbookViewId="0">
      <selection activeCell="B1" sqref="B1:B1048576"/>
    </sheetView>
  </sheetViews>
  <sheetFormatPr defaultRowHeight="12.75" x14ac:dyDescent="0.2"/>
  <cols>
    <col min="1" max="1" width="13" customWidth="1"/>
    <col min="2" max="2" width="5.140625" bestFit="1" customWidth="1"/>
    <col min="3" max="8" width="8.140625" bestFit="1" customWidth="1"/>
    <col min="9" max="10" width="6.85546875" bestFit="1" customWidth="1"/>
    <col min="11" max="11" width="7" bestFit="1" customWidth="1"/>
    <col min="12" max="13" width="7.85546875" bestFit="1" customWidth="1"/>
    <col min="14" max="15" width="8.140625" bestFit="1" customWidth="1"/>
    <col min="16" max="16" width="7.5703125" bestFit="1" customWidth="1"/>
    <col min="17" max="19" width="8.140625" bestFit="1" customWidth="1"/>
    <col min="20" max="20" width="2.85546875" bestFit="1" customWidth="1"/>
    <col min="21" max="21" width="2.7109375" bestFit="1" customWidth="1"/>
    <col min="22" max="22" width="2.5703125" bestFit="1" customWidth="1"/>
    <col min="23" max="23" width="8" customWidth="1"/>
  </cols>
  <sheetData>
    <row r="1" spans="1:23" ht="45" x14ac:dyDescent="0.2">
      <c r="A1" s="7"/>
      <c r="B1" s="8" t="s">
        <v>15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19</v>
      </c>
      <c r="L1" s="9" t="s">
        <v>20</v>
      </c>
      <c r="M1" s="9" t="s">
        <v>21</v>
      </c>
      <c r="N1" s="9" t="s">
        <v>13</v>
      </c>
      <c r="O1" s="9" t="s">
        <v>14</v>
      </c>
      <c r="P1" s="9" t="s">
        <v>22</v>
      </c>
      <c r="Q1" s="9" t="s">
        <v>16</v>
      </c>
      <c r="R1" s="9" t="s">
        <v>17</v>
      </c>
      <c r="S1" s="9" t="s">
        <v>18</v>
      </c>
      <c r="T1" s="9" t="s">
        <v>2</v>
      </c>
      <c r="U1" s="9" t="s">
        <v>3</v>
      </c>
      <c r="V1" s="9" t="s">
        <v>4</v>
      </c>
      <c r="W1" s="8" t="s">
        <v>267</v>
      </c>
    </row>
    <row r="2" spans="1:23" ht="17.25" x14ac:dyDescent="0.2">
      <c r="A2" s="8" t="s">
        <v>268</v>
      </c>
      <c r="B2" s="7" t="s">
        <v>117</v>
      </c>
      <c r="C2" s="7">
        <v>120.05</v>
      </c>
      <c r="D2" s="7">
        <v>130.31</v>
      </c>
      <c r="E2" s="7">
        <v>99.05</v>
      </c>
      <c r="F2" s="7">
        <v>111.17</v>
      </c>
      <c r="G2" s="7">
        <v>117.12</v>
      </c>
      <c r="H2" s="7">
        <v>191.57</v>
      </c>
      <c r="I2" s="7">
        <v>72.44</v>
      </c>
      <c r="J2" s="7">
        <v>24.76</v>
      </c>
      <c r="K2" s="7">
        <v>49.6</v>
      </c>
      <c r="L2" s="7">
        <v>43.78</v>
      </c>
      <c r="M2" s="7">
        <v>35.07</v>
      </c>
      <c r="N2" s="7">
        <v>111.72</v>
      </c>
      <c r="O2" s="7">
        <v>112.38</v>
      </c>
      <c r="P2" s="7">
        <v>68.55</v>
      </c>
      <c r="Q2" s="7">
        <v>95.31</v>
      </c>
      <c r="R2" s="7">
        <v>136.57</v>
      </c>
      <c r="S2" s="7">
        <v>129.85</v>
      </c>
      <c r="T2" s="7"/>
      <c r="U2" s="7"/>
      <c r="V2" s="7"/>
      <c r="W2" s="7"/>
    </row>
    <row r="3" spans="1:23" ht="17.25" x14ac:dyDescent="0.2">
      <c r="A3" s="8" t="s">
        <v>269</v>
      </c>
      <c r="B3" s="7" t="s">
        <v>117</v>
      </c>
      <c r="C3" s="7">
        <v>119.89</v>
      </c>
      <c r="D3" s="7">
        <v>147.35</v>
      </c>
      <c r="E3" s="7">
        <v>112.91</v>
      </c>
      <c r="F3" s="7">
        <v>114.51</v>
      </c>
      <c r="G3" s="7">
        <v>121.73</v>
      </c>
      <c r="H3" s="7">
        <v>196.07</v>
      </c>
      <c r="I3" s="7">
        <v>75.72</v>
      </c>
      <c r="J3" s="7">
        <v>25.73</v>
      </c>
      <c r="K3" s="7">
        <v>57.68</v>
      </c>
      <c r="L3" s="7">
        <v>44.18</v>
      </c>
      <c r="M3" s="7">
        <v>32.659999999999997</v>
      </c>
      <c r="N3" s="7">
        <v>101.85</v>
      </c>
      <c r="O3" s="7">
        <v>126.49</v>
      </c>
      <c r="P3" s="7">
        <v>73.44</v>
      </c>
      <c r="Q3" s="7">
        <v>99.58</v>
      </c>
      <c r="R3" s="7">
        <v>132.74</v>
      </c>
      <c r="S3" s="7">
        <v>126.51</v>
      </c>
      <c r="T3" s="7"/>
      <c r="U3" s="7"/>
      <c r="V3" s="7"/>
      <c r="W3" s="7"/>
    </row>
    <row r="4" spans="1:23" ht="17.25" x14ac:dyDescent="0.2">
      <c r="A4" s="8" t="s">
        <v>270</v>
      </c>
      <c r="B4" s="7" t="s">
        <v>117</v>
      </c>
      <c r="C4" s="7">
        <v>125.61</v>
      </c>
      <c r="D4" s="7">
        <v>130.94</v>
      </c>
      <c r="E4" s="7">
        <v>102.86</v>
      </c>
      <c r="F4" s="7">
        <v>102.81</v>
      </c>
      <c r="G4" s="7">
        <v>116.38</v>
      </c>
      <c r="H4" s="7">
        <v>191.78</v>
      </c>
      <c r="I4" s="7">
        <v>67.760000000000005</v>
      </c>
      <c r="J4" s="7">
        <v>26.13</v>
      </c>
      <c r="K4" s="7">
        <v>53.9</v>
      </c>
      <c r="L4" s="7">
        <v>40.36</v>
      </c>
      <c r="M4" s="7">
        <v>34.68</v>
      </c>
      <c r="N4" s="7">
        <v>97.25</v>
      </c>
      <c r="O4" s="7">
        <v>116.86</v>
      </c>
      <c r="P4" s="7">
        <v>72.11</v>
      </c>
      <c r="Q4" s="7">
        <v>95.9</v>
      </c>
      <c r="R4" s="7">
        <v>137.6</v>
      </c>
      <c r="S4" s="7">
        <v>133.37</v>
      </c>
      <c r="T4" s="7"/>
      <c r="U4" s="7"/>
      <c r="V4" s="7"/>
      <c r="W4" s="7"/>
    </row>
    <row r="5" spans="1:23" ht="17.25" x14ac:dyDescent="0.2">
      <c r="A5" s="8" t="s">
        <v>271</v>
      </c>
      <c r="B5" s="7" t="s">
        <v>117</v>
      </c>
      <c r="C5" s="7">
        <v>128.75</v>
      </c>
      <c r="D5" s="7">
        <v>147.5</v>
      </c>
      <c r="E5" s="7">
        <v>111.23</v>
      </c>
      <c r="F5" s="7">
        <v>107.35</v>
      </c>
      <c r="G5" s="7">
        <v>123.13</v>
      </c>
      <c r="H5" s="7">
        <v>190.61</v>
      </c>
      <c r="I5" s="7">
        <v>69.099999999999994</v>
      </c>
      <c r="J5" s="7">
        <v>26.44</v>
      </c>
      <c r="K5" s="7">
        <v>56.36</v>
      </c>
      <c r="L5" s="7">
        <v>43.04</v>
      </c>
      <c r="M5" s="7">
        <v>35.94</v>
      </c>
      <c r="N5" s="7">
        <v>104.63</v>
      </c>
      <c r="O5" s="7">
        <v>118.6</v>
      </c>
      <c r="P5" s="7">
        <v>71.63</v>
      </c>
      <c r="Q5" s="7">
        <v>99.43</v>
      </c>
      <c r="R5" s="7">
        <v>149.24</v>
      </c>
      <c r="S5" s="7">
        <v>136.37</v>
      </c>
      <c r="T5" s="7"/>
      <c r="U5" s="7"/>
      <c r="V5" s="7"/>
      <c r="W5" s="7"/>
    </row>
    <row r="6" spans="1:23" ht="17.25" x14ac:dyDescent="0.2">
      <c r="A6" s="8" t="s">
        <v>272</v>
      </c>
      <c r="B6" s="7" t="s">
        <v>117</v>
      </c>
      <c r="C6" s="7">
        <v>123.66</v>
      </c>
      <c r="D6" s="7">
        <v>137.87</v>
      </c>
      <c r="E6" s="7">
        <v>102.54</v>
      </c>
      <c r="F6" s="7">
        <v>96.54</v>
      </c>
      <c r="G6" s="7">
        <v>116.09</v>
      </c>
      <c r="H6" s="7">
        <v>179.01</v>
      </c>
      <c r="I6" s="7">
        <v>63.81</v>
      </c>
      <c r="J6" s="7">
        <v>26.17</v>
      </c>
      <c r="K6" s="7">
        <v>56.83</v>
      </c>
      <c r="L6" s="7">
        <v>40.11</v>
      </c>
      <c r="M6" s="7">
        <v>33.36</v>
      </c>
      <c r="N6" s="7">
        <v>105.68</v>
      </c>
      <c r="O6" s="7">
        <v>110.36</v>
      </c>
      <c r="P6" s="7">
        <v>75.17</v>
      </c>
      <c r="Q6" s="7">
        <v>95.69</v>
      </c>
      <c r="R6" s="7">
        <v>143.63999999999999</v>
      </c>
      <c r="S6" s="7">
        <v>129.9</v>
      </c>
      <c r="T6" s="7"/>
      <c r="U6" s="7"/>
      <c r="V6" s="7"/>
      <c r="W6" s="7"/>
    </row>
    <row r="7" spans="1:23" ht="17.25" x14ac:dyDescent="0.2">
      <c r="A7" s="8" t="s">
        <v>273</v>
      </c>
      <c r="B7" s="7" t="s">
        <v>117</v>
      </c>
      <c r="C7" s="7">
        <v>125.47</v>
      </c>
      <c r="D7" s="7">
        <v>135.16999999999999</v>
      </c>
      <c r="E7" s="7">
        <v>104.91</v>
      </c>
      <c r="F7" s="7">
        <v>99.06</v>
      </c>
      <c r="G7" s="7">
        <v>109.86</v>
      </c>
      <c r="H7" s="7">
        <v>188.93</v>
      </c>
      <c r="I7" s="7">
        <v>59.9</v>
      </c>
      <c r="J7" s="7">
        <v>22.09</v>
      </c>
      <c r="K7" s="7">
        <v>49.46</v>
      </c>
      <c r="L7" s="7">
        <v>41.9</v>
      </c>
      <c r="M7" s="7">
        <v>32.43</v>
      </c>
      <c r="N7" s="7">
        <v>93.09</v>
      </c>
      <c r="O7" s="7">
        <v>121.09</v>
      </c>
      <c r="P7" s="7">
        <v>62.82</v>
      </c>
      <c r="Q7" s="7">
        <v>105.29</v>
      </c>
      <c r="R7" s="7">
        <v>139.22</v>
      </c>
      <c r="S7" s="7">
        <v>129.36000000000001</v>
      </c>
      <c r="T7" s="7"/>
      <c r="U7" s="7"/>
      <c r="V7" s="7"/>
      <c r="W7" s="7"/>
    </row>
    <row r="8" spans="1:23" ht="17.25" x14ac:dyDescent="0.2">
      <c r="A8" s="8" t="s">
        <v>274</v>
      </c>
      <c r="B8" s="7" t="s">
        <v>117</v>
      </c>
      <c r="C8" s="7">
        <v>115.52</v>
      </c>
      <c r="D8" s="7">
        <v>139.99</v>
      </c>
      <c r="E8" s="7">
        <v>96.86</v>
      </c>
      <c r="F8" s="7">
        <v>90.92</v>
      </c>
      <c r="G8" s="7">
        <v>120.11</v>
      </c>
      <c r="H8" s="7">
        <v>184.03</v>
      </c>
      <c r="I8" s="7">
        <v>55.26</v>
      </c>
      <c r="J8" s="7">
        <v>23.94</v>
      </c>
      <c r="K8" s="7">
        <v>52.11</v>
      </c>
      <c r="L8" s="7">
        <v>39.61</v>
      </c>
      <c r="M8" s="7">
        <v>34.53</v>
      </c>
      <c r="N8" s="7">
        <v>98.74</v>
      </c>
      <c r="O8" s="7">
        <v>121.87</v>
      </c>
      <c r="P8" s="7">
        <v>73.569999999999993</v>
      </c>
      <c r="Q8" s="7">
        <v>98.66</v>
      </c>
      <c r="R8" s="7">
        <v>140.6</v>
      </c>
      <c r="S8" s="7">
        <v>123.48</v>
      </c>
      <c r="T8" s="7"/>
      <c r="U8" s="7"/>
      <c r="V8" s="7"/>
      <c r="W8" s="7"/>
    </row>
    <row r="9" spans="1:23" ht="17.25" x14ac:dyDescent="0.2">
      <c r="A9" s="8" t="s">
        <v>275</v>
      </c>
      <c r="B9" s="7" t="s">
        <v>117</v>
      </c>
      <c r="C9" s="7">
        <v>125.32</v>
      </c>
      <c r="D9" s="7">
        <v>137.69999999999999</v>
      </c>
      <c r="E9" s="7">
        <v>114.22</v>
      </c>
      <c r="F9" s="7">
        <v>104.62</v>
      </c>
      <c r="G9" s="7">
        <v>115.17</v>
      </c>
      <c r="H9" s="7">
        <v>201.42</v>
      </c>
      <c r="I9" s="7">
        <v>71.69</v>
      </c>
      <c r="J9" s="7">
        <v>24.91</v>
      </c>
      <c r="K9" s="7">
        <v>58.55</v>
      </c>
      <c r="L9" s="7">
        <v>44.21</v>
      </c>
      <c r="M9" s="7">
        <v>34.619999999999997</v>
      </c>
      <c r="N9" s="7">
        <v>103.65</v>
      </c>
      <c r="O9" s="7">
        <v>123.33</v>
      </c>
      <c r="P9" s="7">
        <v>76.08</v>
      </c>
      <c r="Q9" s="7">
        <v>100.23</v>
      </c>
      <c r="R9" s="7">
        <v>141.69999999999999</v>
      </c>
      <c r="S9" s="7">
        <v>132.61000000000001</v>
      </c>
      <c r="T9" s="7"/>
      <c r="U9" s="7"/>
      <c r="V9" s="7"/>
      <c r="W9" s="7"/>
    </row>
    <row r="10" spans="1:23" ht="17.25" x14ac:dyDescent="0.2">
      <c r="A10" s="8" t="s">
        <v>276</v>
      </c>
      <c r="B10" s="7" t="s">
        <v>117</v>
      </c>
      <c r="C10" s="7">
        <v>124.57</v>
      </c>
      <c r="D10" s="7">
        <v>144.03</v>
      </c>
      <c r="E10" s="7">
        <v>108.54</v>
      </c>
      <c r="F10" s="7">
        <v>107.99</v>
      </c>
      <c r="G10" s="7">
        <v>115.05</v>
      </c>
      <c r="H10" s="7">
        <v>189</v>
      </c>
      <c r="I10" s="7">
        <v>63.88</v>
      </c>
      <c r="J10" s="7">
        <v>25.68</v>
      </c>
      <c r="K10" s="7">
        <v>49.6</v>
      </c>
      <c r="L10" s="7">
        <v>41.57</v>
      </c>
      <c r="M10" s="7">
        <v>32</v>
      </c>
      <c r="N10" s="7">
        <v>98.59</v>
      </c>
      <c r="O10" s="7">
        <v>119.59</v>
      </c>
      <c r="P10" s="7">
        <v>64.430000000000007</v>
      </c>
      <c r="Q10" s="7">
        <v>91.41</v>
      </c>
      <c r="R10" s="7">
        <v>140.91</v>
      </c>
      <c r="S10" s="7">
        <v>131.55000000000001</v>
      </c>
      <c r="T10" s="7"/>
      <c r="U10" s="7"/>
      <c r="V10" s="7"/>
      <c r="W10" s="7"/>
    </row>
    <row r="11" spans="1:23" ht="17.25" x14ac:dyDescent="0.2">
      <c r="A11" s="8" t="s">
        <v>277</v>
      </c>
      <c r="B11" s="7" t="s">
        <v>117</v>
      </c>
      <c r="C11" s="7">
        <v>121.79</v>
      </c>
      <c r="D11" s="7">
        <v>140.38</v>
      </c>
      <c r="E11" s="7">
        <v>103.28</v>
      </c>
      <c r="F11" s="7">
        <v>93.62</v>
      </c>
      <c r="G11" s="7">
        <v>115.86</v>
      </c>
      <c r="H11" s="7">
        <v>184.4</v>
      </c>
      <c r="I11" s="7">
        <v>64.55</v>
      </c>
      <c r="J11" s="7">
        <v>21.01</v>
      </c>
      <c r="K11" s="7">
        <v>57.23</v>
      </c>
      <c r="L11" s="7">
        <v>41.48</v>
      </c>
      <c r="M11" s="7">
        <v>34.880000000000003</v>
      </c>
      <c r="N11" s="7">
        <v>99.28</v>
      </c>
      <c r="O11" s="7">
        <v>117.27</v>
      </c>
      <c r="P11" s="7">
        <v>76.77</v>
      </c>
      <c r="Q11" s="7">
        <v>92.7</v>
      </c>
      <c r="R11" s="7">
        <v>137.75</v>
      </c>
      <c r="S11" s="7">
        <v>124.88</v>
      </c>
      <c r="T11" s="7"/>
      <c r="U11" s="7"/>
      <c r="V11" s="7"/>
      <c r="W11" s="7"/>
    </row>
    <row r="12" spans="1:23" ht="17.25" x14ac:dyDescent="0.2">
      <c r="A12" s="8" t="s">
        <v>278</v>
      </c>
      <c r="B12" s="7" t="s">
        <v>117</v>
      </c>
      <c r="C12" s="7">
        <v>122.85</v>
      </c>
      <c r="D12" s="7">
        <v>144.87</v>
      </c>
      <c r="E12" s="7">
        <v>111.3</v>
      </c>
      <c r="F12" s="7">
        <v>106.72</v>
      </c>
      <c r="G12" s="7">
        <v>119.15</v>
      </c>
      <c r="H12" s="7">
        <v>193.86</v>
      </c>
      <c r="I12" s="7">
        <v>68.41</v>
      </c>
      <c r="J12" s="7">
        <v>25.79</v>
      </c>
      <c r="K12" s="7">
        <v>59.76</v>
      </c>
      <c r="L12" s="7">
        <v>43.01</v>
      </c>
      <c r="M12" s="7">
        <v>35.14</v>
      </c>
      <c r="N12" s="7">
        <v>102.29</v>
      </c>
      <c r="O12" s="7">
        <v>121.37</v>
      </c>
      <c r="P12" s="7">
        <v>71.569999999999993</v>
      </c>
      <c r="Q12" s="7">
        <v>97.23</v>
      </c>
      <c r="R12" s="7">
        <v>140.02000000000001</v>
      </c>
      <c r="S12" s="7">
        <v>132.19</v>
      </c>
      <c r="T12" s="7"/>
      <c r="U12" s="7"/>
      <c r="V12" s="7"/>
      <c r="W12" s="7"/>
    </row>
    <row r="13" spans="1:23" ht="17.25" x14ac:dyDescent="0.2">
      <c r="A13" s="8" t="s">
        <v>279</v>
      </c>
      <c r="B13" s="7" t="s">
        <v>117</v>
      </c>
      <c r="C13" s="7">
        <v>129.06</v>
      </c>
      <c r="D13" s="7">
        <v>141.01</v>
      </c>
      <c r="E13" s="7">
        <v>104.45</v>
      </c>
      <c r="F13" s="7">
        <v>113.78</v>
      </c>
      <c r="G13" s="7">
        <v>121.24</v>
      </c>
      <c r="H13" s="7">
        <v>193.63</v>
      </c>
      <c r="I13" s="7">
        <v>76.05</v>
      </c>
      <c r="J13" s="7">
        <v>27.62</v>
      </c>
      <c r="K13" s="7">
        <v>50.95</v>
      </c>
      <c r="L13" s="7">
        <v>44.35</v>
      </c>
      <c r="M13" s="7">
        <v>31.61</v>
      </c>
      <c r="N13" s="7">
        <v>110.23</v>
      </c>
      <c r="O13" s="7">
        <v>118.54</v>
      </c>
      <c r="P13" s="7">
        <v>69.55</v>
      </c>
      <c r="Q13" s="7">
        <v>110.81</v>
      </c>
      <c r="R13" s="7">
        <v>150.33000000000001</v>
      </c>
      <c r="S13" s="7">
        <v>140.34</v>
      </c>
      <c r="T13" s="7"/>
      <c r="U13" s="7"/>
      <c r="V13" s="7"/>
      <c r="W13" s="7"/>
    </row>
    <row r="14" spans="1:23" ht="17.25" x14ac:dyDescent="0.2">
      <c r="A14" s="8" t="s">
        <v>280</v>
      </c>
      <c r="B14" s="7" t="s">
        <v>117</v>
      </c>
      <c r="C14" s="7">
        <v>120.44</v>
      </c>
      <c r="D14" s="7">
        <v>141.16999999999999</v>
      </c>
      <c r="E14" s="7">
        <v>113.1</v>
      </c>
      <c r="F14" s="7">
        <v>104.4</v>
      </c>
      <c r="G14" s="7">
        <v>112.04</v>
      </c>
      <c r="H14" s="7">
        <v>192.35</v>
      </c>
      <c r="I14" s="7">
        <v>64.13</v>
      </c>
      <c r="J14" s="7">
        <v>25.49</v>
      </c>
      <c r="K14" s="7">
        <v>49.75</v>
      </c>
      <c r="L14" s="7">
        <v>44.67</v>
      </c>
      <c r="M14" s="7">
        <v>30.28</v>
      </c>
      <c r="N14" s="7">
        <v>106.21</v>
      </c>
      <c r="O14" s="7">
        <v>117.92</v>
      </c>
      <c r="P14" s="7">
        <v>65.94</v>
      </c>
      <c r="Q14" s="7">
        <v>96.85</v>
      </c>
      <c r="R14" s="7">
        <v>138.5</v>
      </c>
      <c r="S14" s="7">
        <v>134.79</v>
      </c>
      <c r="T14" s="7"/>
      <c r="U14" s="7"/>
      <c r="V14" s="7"/>
      <c r="W14" s="7"/>
    </row>
    <row r="15" spans="1:23" ht="17.25" x14ac:dyDescent="0.2">
      <c r="A15" s="8" t="s">
        <v>281</v>
      </c>
      <c r="B15" s="7" t="s">
        <v>117</v>
      </c>
      <c r="C15" s="7">
        <v>118.57</v>
      </c>
      <c r="D15" s="7">
        <v>149.46</v>
      </c>
      <c r="E15" s="7">
        <v>110.49</v>
      </c>
      <c r="F15" s="7">
        <v>104.43</v>
      </c>
      <c r="G15" s="7">
        <v>122.85</v>
      </c>
      <c r="H15" s="7">
        <v>197.2</v>
      </c>
      <c r="I15" s="7">
        <v>64.7</v>
      </c>
      <c r="J15" s="7">
        <v>24.93</v>
      </c>
      <c r="K15" s="7">
        <v>58.09</v>
      </c>
      <c r="L15" s="7">
        <v>47.65</v>
      </c>
      <c r="M15" s="7">
        <v>38.15</v>
      </c>
      <c r="N15" s="7">
        <v>109.41</v>
      </c>
      <c r="O15" s="7">
        <v>125.04</v>
      </c>
      <c r="P15" s="7">
        <v>76.73</v>
      </c>
      <c r="Q15" s="7">
        <v>100.25</v>
      </c>
      <c r="R15" s="7">
        <v>133.43</v>
      </c>
      <c r="S15" s="7">
        <v>134.51</v>
      </c>
      <c r="T15" s="7"/>
      <c r="U15" s="7"/>
      <c r="V15" s="7"/>
      <c r="W15" s="7"/>
    </row>
    <row r="16" spans="1:23" ht="17.25" x14ac:dyDescent="0.2">
      <c r="A16" s="8" t="s">
        <v>282</v>
      </c>
      <c r="B16" s="7" t="s">
        <v>117</v>
      </c>
      <c r="C16" s="7">
        <v>115.5</v>
      </c>
      <c r="D16" s="7">
        <v>135.94999999999999</v>
      </c>
      <c r="E16" s="7">
        <v>100.26</v>
      </c>
      <c r="F16" s="7">
        <v>99.83</v>
      </c>
      <c r="G16" s="7">
        <v>113.58</v>
      </c>
      <c r="H16" s="7">
        <v>183</v>
      </c>
      <c r="I16" s="7">
        <v>66.150000000000006</v>
      </c>
      <c r="J16" s="7">
        <v>21.92</v>
      </c>
      <c r="K16" s="7">
        <v>50.66</v>
      </c>
      <c r="L16" s="7">
        <v>41.78</v>
      </c>
      <c r="M16" s="7">
        <v>34.32</v>
      </c>
      <c r="N16" s="7">
        <v>100.5</v>
      </c>
      <c r="O16" s="7">
        <v>112.08</v>
      </c>
      <c r="P16" s="7">
        <v>67.23</v>
      </c>
      <c r="Q16" s="7">
        <v>94.37</v>
      </c>
      <c r="R16" s="7">
        <v>133.6</v>
      </c>
      <c r="S16" s="7">
        <v>124.94</v>
      </c>
      <c r="T16" s="7"/>
      <c r="U16" s="7"/>
      <c r="V16" s="7"/>
      <c r="W16" s="7"/>
    </row>
    <row r="17" spans="1:23" ht="17.25" x14ac:dyDescent="0.2">
      <c r="A17" s="8" t="s">
        <v>283</v>
      </c>
      <c r="B17" s="7" t="s">
        <v>117</v>
      </c>
      <c r="C17" s="7">
        <v>121.3</v>
      </c>
      <c r="D17" s="7">
        <v>138.09</v>
      </c>
      <c r="E17" s="7">
        <v>110.29</v>
      </c>
      <c r="F17" s="7">
        <v>105.23</v>
      </c>
      <c r="G17" s="7">
        <v>117.81</v>
      </c>
      <c r="H17" s="7">
        <v>188.18</v>
      </c>
      <c r="I17" s="7">
        <v>62.34</v>
      </c>
      <c r="J17" s="7">
        <v>21.61</v>
      </c>
      <c r="K17" s="7">
        <v>57.03</v>
      </c>
      <c r="L17" s="7">
        <v>44.42</v>
      </c>
      <c r="M17" s="7">
        <v>35.29</v>
      </c>
      <c r="N17" s="7">
        <v>98.97</v>
      </c>
      <c r="O17" s="7">
        <v>107.77</v>
      </c>
      <c r="P17" s="7">
        <v>77.680000000000007</v>
      </c>
      <c r="Q17" s="7">
        <v>96.01</v>
      </c>
      <c r="R17" s="7">
        <v>137.24</v>
      </c>
      <c r="S17" s="7">
        <v>129.97</v>
      </c>
      <c r="T17" s="7"/>
      <c r="U17" s="7"/>
      <c r="V17" s="7"/>
      <c r="W17" s="7"/>
    </row>
    <row r="18" spans="1:23" ht="17.25" x14ac:dyDescent="0.2">
      <c r="A18" s="8" t="s">
        <v>284</v>
      </c>
      <c r="B18" s="7" t="s">
        <v>117</v>
      </c>
      <c r="C18" s="7">
        <v>127.43</v>
      </c>
      <c r="D18" s="7">
        <v>137.66999999999999</v>
      </c>
      <c r="E18" s="7">
        <v>106.83</v>
      </c>
      <c r="F18" s="7">
        <v>102.02</v>
      </c>
      <c r="G18" s="7">
        <v>121.5</v>
      </c>
      <c r="H18" s="7">
        <v>196.66</v>
      </c>
      <c r="I18" s="7">
        <v>68.69</v>
      </c>
      <c r="J18" s="7">
        <v>30.98</v>
      </c>
      <c r="K18" s="7">
        <v>55.67</v>
      </c>
      <c r="L18" s="7">
        <v>42.47</v>
      </c>
      <c r="M18" s="7">
        <v>33.44</v>
      </c>
      <c r="N18" s="7">
        <v>104.97</v>
      </c>
      <c r="O18" s="7">
        <v>115.07</v>
      </c>
      <c r="P18" s="7">
        <v>72.209999999999994</v>
      </c>
      <c r="Q18" s="7">
        <v>105.76</v>
      </c>
      <c r="R18" s="7">
        <v>145.86000000000001</v>
      </c>
      <c r="S18" s="7">
        <v>137.15</v>
      </c>
      <c r="T18" s="7"/>
      <c r="U18" s="7"/>
      <c r="V18" s="7"/>
      <c r="W18" s="7"/>
    </row>
    <row r="19" spans="1:23" ht="17.25" x14ac:dyDescent="0.2">
      <c r="A19" s="8" t="s">
        <v>285</v>
      </c>
      <c r="B19" s="7" t="s">
        <v>117</v>
      </c>
      <c r="C19" s="7">
        <v>115.5</v>
      </c>
      <c r="D19" s="7">
        <v>138.38</v>
      </c>
      <c r="E19" s="7">
        <v>103.8</v>
      </c>
      <c r="F19" s="7">
        <v>99.03</v>
      </c>
      <c r="G19" s="7">
        <v>109.55</v>
      </c>
      <c r="H19" s="7">
        <v>197.15</v>
      </c>
      <c r="I19" s="7">
        <v>60.22</v>
      </c>
      <c r="J19" s="7">
        <v>23.26</v>
      </c>
      <c r="K19" s="7">
        <v>56.82</v>
      </c>
      <c r="L19" s="7">
        <v>43.23</v>
      </c>
      <c r="M19" s="7">
        <v>33.29</v>
      </c>
      <c r="N19" s="7">
        <v>117.31</v>
      </c>
      <c r="O19" s="7">
        <v>120.72</v>
      </c>
      <c r="P19" s="7">
        <v>79.09</v>
      </c>
      <c r="Q19" s="7">
        <v>96.87</v>
      </c>
      <c r="R19" s="7">
        <v>142.65</v>
      </c>
      <c r="S19" s="7">
        <v>125.62</v>
      </c>
      <c r="T19" s="7"/>
      <c r="U19" s="7"/>
      <c r="V19" s="7"/>
      <c r="W19" s="7"/>
    </row>
    <row r="20" spans="1:23" ht="17.25" x14ac:dyDescent="0.2">
      <c r="A20" s="8" t="s">
        <v>286</v>
      </c>
      <c r="B20" s="7" t="s">
        <v>117</v>
      </c>
      <c r="C20" s="7">
        <v>128.41999999999999</v>
      </c>
      <c r="D20" s="7">
        <v>137.57</v>
      </c>
      <c r="E20" s="7">
        <v>110.47</v>
      </c>
      <c r="F20" s="7">
        <v>113.54</v>
      </c>
      <c r="G20" s="7">
        <v>116.71</v>
      </c>
      <c r="H20" s="7">
        <v>203.64</v>
      </c>
      <c r="I20" s="7">
        <v>69.02</v>
      </c>
      <c r="J20" s="7">
        <v>26.32</v>
      </c>
      <c r="K20" s="7">
        <v>54.12</v>
      </c>
      <c r="L20" s="7">
        <v>45.97</v>
      </c>
      <c r="M20" s="7">
        <v>32.159999999999997</v>
      </c>
      <c r="N20" s="7">
        <v>109.04</v>
      </c>
      <c r="O20" s="7">
        <v>126.32</v>
      </c>
      <c r="P20" s="7">
        <v>68.88</v>
      </c>
      <c r="Q20" s="7">
        <v>100.84</v>
      </c>
      <c r="R20" s="7">
        <v>142.66</v>
      </c>
      <c r="S20" s="7">
        <v>140.21</v>
      </c>
      <c r="T20" s="7"/>
      <c r="U20" s="7"/>
      <c r="V20" s="7"/>
      <c r="W20" s="7"/>
    </row>
    <row r="21" spans="1:23" ht="17.25" x14ac:dyDescent="0.2">
      <c r="A21" s="8" t="s">
        <v>287</v>
      </c>
      <c r="B21" s="7" t="s">
        <v>117</v>
      </c>
      <c r="C21" s="7">
        <v>117.48</v>
      </c>
      <c r="D21" s="7">
        <v>137.03</v>
      </c>
      <c r="E21" s="7">
        <v>104.94</v>
      </c>
      <c r="F21" s="7">
        <v>103.62</v>
      </c>
      <c r="G21" s="7">
        <v>118.27</v>
      </c>
      <c r="H21" s="7">
        <v>192.63</v>
      </c>
      <c r="I21" s="7">
        <v>65.55</v>
      </c>
      <c r="J21" s="7">
        <v>25.25</v>
      </c>
      <c r="K21" s="7">
        <v>51.94</v>
      </c>
      <c r="L21" s="7">
        <v>44.37</v>
      </c>
      <c r="M21" s="7">
        <v>32.36</v>
      </c>
      <c r="N21" s="7">
        <v>110.14</v>
      </c>
      <c r="O21" s="7">
        <v>115.61</v>
      </c>
      <c r="P21" s="7">
        <v>65.38</v>
      </c>
      <c r="Q21" s="7">
        <v>93.99</v>
      </c>
      <c r="R21" s="7">
        <v>136.05000000000001</v>
      </c>
      <c r="S21" s="7">
        <v>125.1</v>
      </c>
      <c r="T21" s="7"/>
      <c r="U21" s="7"/>
      <c r="V21" s="7"/>
      <c r="W21" s="7"/>
    </row>
    <row r="22" spans="1:23" ht="17.25" x14ac:dyDescent="0.2">
      <c r="A22" s="8" t="s">
        <v>288</v>
      </c>
      <c r="B22" s="7" t="s">
        <v>117</v>
      </c>
      <c r="C22" s="7">
        <v>124.1</v>
      </c>
      <c r="D22" s="7">
        <v>145.13</v>
      </c>
      <c r="E22" s="7">
        <v>115.22</v>
      </c>
      <c r="F22" s="7">
        <v>112.01</v>
      </c>
      <c r="G22" s="7">
        <v>114.61</v>
      </c>
      <c r="H22" s="7">
        <v>200.95</v>
      </c>
      <c r="I22" s="7">
        <v>74.7</v>
      </c>
      <c r="J22" s="7">
        <v>27.39</v>
      </c>
      <c r="K22" s="7">
        <v>59.04</v>
      </c>
      <c r="L22" s="7">
        <v>44.7</v>
      </c>
      <c r="M22" s="7">
        <v>34.89</v>
      </c>
      <c r="N22" s="7">
        <v>112.76</v>
      </c>
      <c r="O22" s="7">
        <v>124.33</v>
      </c>
      <c r="P22" s="7">
        <v>78.099999999999994</v>
      </c>
      <c r="Q22" s="7">
        <v>99.34</v>
      </c>
      <c r="R22" s="7">
        <v>142.18</v>
      </c>
      <c r="S22" s="7">
        <v>133.72</v>
      </c>
      <c r="T22" s="7"/>
      <c r="U22" s="7"/>
      <c r="V22" s="7"/>
      <c r="W22" s="7"/>
    </row>
    <row r="23" spans="1:23" ht="17.25" x14ac:dyDescent="0.2">
      <c r="A23" s="8" t="s">
        <v>289</v>
      </c>
      <c r="B23" s="7" t="s">
        <v>117</v>
      </c>
      <c r="C23" s="7">
        <v>109.96</v>
      </c>
      <c r="D23" s="7">
        <v>140.93</v>
      </c>
      <c r="E23" s="7">
        <v>108.31</v>
      </c>
      <c r="F23" s="7">
        <v>106.76</v>
      </c>
      <c r="G23" s="7">
        <v>114.41</v>
      </c>
      <c r="H23" s="7">
        <v>188.95</v>
      </c>
      <c r="I23" s="7">
        <v>59.47</v>
      </c>
      <c r="J23" s="7">
        <v>23.53</v>
      </c>
      <c r="K23" s="7">
        <v>50.92</v>
      </c>
      <c r="L23" s="7">
        <v>40.51</v>
      </c>
      <c r="M23" s="7">
        <v>31.28</v>
      </c>
      <c r="N23" s="7">
        <v>97.98</v>
      </c>
      <c r="O23" s="7">
        <v>117.37</v>
      </c>
      <c r="P23" s="7">
        <v>65.36</v>
      </c>
      <c r="Q23" s="7">
        <v>92.77</v>
      </c>
      <c r="R23" s="7">
        <v>124.87</v>
      </c>
      <c r="S23" s="7">
        <v>119.63</v>
      </c>
      <c r="T23" s="7"/>
      <c r="U23" s="7"/>
      <c r="V23" s="7"/>
      <c r="W23" s="7"/>
    </row>
    <row r="24" spans="1:23" ht="17.25" x14ac:dyDescent="0.2">
      <c r="A24" s="8" t="s">
        <v>290</v>
      </c>
      <c r="B24" s="7" t="s">
        <v>117</v>
      </c>
      <c r="C24" s="7">
        <v>113.18</v>
      </c>
      <c r="D24" s="7">
        <v>131.27000000000001</v>
      </c>
      <c r="E24" s="7">
        <v>95.66</v>
      </c>
      <c r="F24" s="7">
        <v>89.65</v>
      </c>
      <c r="G24" s="7">
        <v>109.14</v>
      </c>
      <c r="H24" s="7">
        <v>177.85</v>
      </c>
      <c r="I24" s="7">
        <v>58.04</v>
      </c>
      <c r="J24" s="7">
        <v>21.64</v>
      </c>
      <c r="K24" s="7">
        <v>53.7</v>
      </c>
      <c r="L24" s="7">
        <v>40.869999999999997</v>
      </c>
      <c r="M24" s="7">
        <v>36.39</v>
      </c>
      <c r="N24" s="7">
        <v>92.85</v>
      </c>
      <c r="O24" s="7">
        <v>114.82</v>
      </c>
      <c r="P24" s="7">
        <v>69.36</v>
      </c>
      <c r="Q24" s="7">
        <v>94.21</v>
      </c>
      <c r="R24" s="7">
        <v>132.96</v>
      </c>
      <c r="S24" s="7">
        <v>121.65</v>
      </c>
      <c r="T24" s="7"/>
      <c r="U24" s="7"/>
      <c r="V24" s="7"/>
      <c r="W24" s="7"/>
    </row>
    <row r="25" spans="1:23" ht="17.25" x14ac:dyDescent="0.2">
      <c r="A25" s="8" t="s">
        <v>291</v>
      </c>
      <c r="B25" s="7" t="s">
        <v>117</v>
      </c>
      <c r="C25" s="7">
        <v>123.35</v>
      </c>
      <c r="D25" s="7">
        <v>147.52000000000001</v>
      </c>
      <c r="E25" s="7">
        <v>108</v>
      </c>
      <c r="F25" s="7">
        <v>103.52</v>
      </c>
      <c r="G25" s="7">
        <v>117.25</v>
      </c>
      <c r="H25" s="7">
        <v>192.13</v>
      </c>
      <c r="I25" s="7">
        <v>65.38</v>
      </c>
      <c r="J25" s="7">
        <v>27.7</v>
      </c>
      <c r="K25" s="7">
        <v>55.02</v>
      </c>
      <c r="L25" s="7">
        <v>42.96</v>
      </c>
      <c r="M25" s="7">
        <v>36.869999999999997</v>
      </c>
      <c r="N25" s="7">
        <v>107.28</v>
      </c>
      <c r="O25" s="7">
        <v>121.89</v>
      </c>
      <c r="P25" s="7">
        <v>73.5</v>
      </c>
      <c r="Q25" s="7">
        <v>104.13</v>
      </c>
      <c r="R25" s="7">
        <v>142.71</v>
      </c>
      <c r="S25" s="7">
        <v>130.82</v>
      </c>
      <c r="T25" s="7"/>
      <c r="U25" s="7"/>
      <c r="V25" s="7"/>
      <c r="W25" s="7"/>
    </row>
    <row r="26" spans="1:23" ht="17.25" x14ac:dyDescent="0.2">
      <c r="A26" s="8" t="s">
        <v>292</v>
      </c>
      <c r="B26" s="7" t="s">
        <v>117</v>
      </c>
      <c r="C26" s="7">
        <v>118.92</v>
      </c>
      <c r="D26" s="7">
        <v>148.59</v>
      </c>
      <c r="E26" s="7">
        <v>104.37</v>
      </c>
      <c r="F26" s="7">
        <v>98.37</v>
      </c>
      <c r="G26" s="7">
        <v>122.71</v>
      </c>
      <c r="H26" s="7">
        <v>195.19</v>
      </c>
      <c r="I26" s="7">
        <v>58.9</v>
      </c>
      <c r="J26" s="7">
        <v>28.98</v>
      </c>
      <c r="K26" s="7">
        <v>47.56</v>
      </c>
      <c r="L26" s="7">
        <v>44.18</v>
      </c>
      <c r="M26" s="7">
        <v>31.9</v>
      </c>
      <c r="N26" s="7">
        <v>106.88</v>
      </c>
      <c r="O26" s="7">
        <v>126.19</v>
      </c>
      <c r="P26" s="7">
        <v>64.97</v>
      </c>
      <c r="Q26" s="7">
        <v>100.59</v>
      </c>
      <c r="R26" s="7">
        <v>141.76</v>
      </c>
      <c r="S26" s="7">
        <v>122.06</v>
      </c>
      <c r="T26" s="7"/>
      <c r="U26" s="7"/>
      <c r="V26" s="7"/>
      <c r="W26" s="7"/>
    </row>
    <row r="27" spans="1:23" ht="17.25" x14ac:dyDescent="0.2">
      <c r="A27" s="8" t="s">
        <v>293</v>
      </c>
      <c r="B27" s="7" t="s">
        <v>117</v>
      </c>
      <c r="C27" s="7">
        <v>116.64</v>
      </c>
      <c r="D27" s="7">
        <v>133.16999999999999</v>
      </c>
      <c r="E27" s="7">
        <v>98.34</v>
      </c>
      <c r="F27" s="7">
        <v>97.31</v>
      </c>
      <c r="G27" s="7">
        <v>111.16</v>
      </c>
      <c r="H27" s="7">
        <v>181.19</v>
      </c>
      <c r="I27" s="7">
        <v>65.25</v>
      </c>
      <c r="J27" s="7">
        <v>26.8</v>
      </c>
      <c r="K27" s="7">
        <v>51.05</v>
      </c>
      <c r="L27" s="7">
        <v>41.71</v>
      </c>
      <c r="M27" s="7">
        <v>34.78</v>
      </c>
      <c r="N27" s="7">
        <v>104.36</v>
      </c>
      <c r="O27" s="7">
        <v>110.28</v>
      </c>
      <c r="P27" s="7">
        <v>66.77</v>
      </c>
      <c r="Q27" s="7">
        <v>95.75</v>
      </c>
      <c r="R27" s="7">
        <v>135.66</v>
      </c>
      <c r="S27" s="7">
        <v>125.13</v>
      </c>
      <c r="T27" s="7"/>
      <c r="U27" s="7"/>
      <c r="V27" s="7"/>
      <c r="W27" s="7"/>
    </row>
    <row r="28" spans="1:23" ht="17.25" x14ac:dyDescent="0.2">
      <c r="A28" s="8" t="s">
        <v>294</v>
      </c>
      <c r="B28" s="7" t="s">
        <v>117</v>
      </c>
      <c r="C28" s="7">
        <v>116.69</v>
      </c>
      <c r="D28" s="7">
        <v>144.77000000000001</v>
      </c>
      <c r="E28" s="7">
        <v>108.39</v>
      </c>
      <c r="F28" s="7">
        <v>103.19</v>
      </c>
      <c r="G28" s="7">
        <v>110.48</v>
      </c>
      <c r="H28" s="7">
        <v>182.26</v>
      </c>
      <c r="I28" s="7">
        <v>70.12</v>
      </c>
      <c r="J28" s="7">
        <v>26.51</v>
      </c>
      <c r="K28" s="7">
        <v>52.1</v>
      </c>
      <c r="L28" s="7">
        <v>43.68</v>
      </c>
      <c r="M28" s="7">
        <v>35.549999999999997</v>
      </c>
      <c r="N28" s="7">
        <v>107.73</v>
      </c>
      <c r="O28" s="7">
        <v>111.59</v>
      </c>
      <c r="P28" s="7">
        <v>72.56</v>
      </c>
      <c r="Q28" s="7">
        <v>96.79</v>
      </c>
      <c r="R28" s="7">
        <v>137.34</v>
      </c>
      <c r="S28" s="7">
        <v>123.72</v>
      </c>
      <c r="T28" s="7"/>
      <c r="U28" s="7"/>
      <c r="V28" s="7"/>
      <c r="W28" s="7"/>
    </row>
    <row r="29" spans="1:23" ht="17.25" x14ac:dyDescent="0.2">
      <c r="A29" s="8" t="s">
        <v>295</v>
      </c>
      <c r="B29" s="7" t="s">
        <v>117</v>
      </c>
      <c r="C29" s="7">
        <v>116.47</v>
      </c>
      <c r="D29" s="7">
        <v>142.47999999999999</v>
      </c>
      <c r="E29" s="7">
        <v>107.99</v>
      </c>
      <c r="F29" s="7">
        <v>107.27</v>
      </c>
      <c r="G29" s="7">
        <v>120</v>
      </c>
      <c r="H29" s="7">
        <v>191.21</v>
      </c>
      <c r="I29" s="7">
        <v>67.48</v>
      </c>
      <c r="J29" s="7">
        <v>29.44</v>
      </c>
      <c r="K29" s="7">
        <v>52.45</v>
      </c>
      <c r="L29" s="7">
        <v>40.82</v>
      </c>
      <c r="M29" s="7">
        <v>28.17</v>
      </c>
      <c r="N29" s="7">
        <v>100.59</v>
      </c>
      <c r="O29" s="7">
        <v>119.31</v>
      </c>
      <c r="P29" s="7">
        <v>65.430000000000007</v>
      </c>
      <c r="Q29" s="7">
        <v>96.86</v>
      </c>
      <c r="R29" s="7">
        <v>138.4</v>
      </c>
      <c r="S29" s="7">
        <v>124.17</v>
      </c>
      <c r="T29" s="7"/>
      <c r="U29" s="7"/>
      <c r="V29" s="7"/>
      <c r="W29" s="7"/>
    </row>
    <row r="30" spans="1:23" ht="17.25" x14ac:dyDescent="0.2">
      <c r="A30" s="8" t="s">
        <v>296</v>
      </c>
      <c r="B30" s="7" t="s">
        <v>117</v>
      </c>
      <c r="C30" s="7">
        <v>124.16</v>
      </c>
      <c r="D30" s="7">
        <v>148.53</v>
      </c>
      <c r="E30" s="7">
        <v>109.74</v>
      </c>
      <c r="F30" s="7">
        <v>112.28</v>
      </c>
      <c r="G30" s="7">
        <v>120.37</v>
      </c>
      <c r="H30" s="7">
        <v>193.02</v>
      </c>
      <c r="I30" s="7">
        <v>69.430000000000007</v>
      </c>
      <c r="J30" s="7">
        <v>25.68</v>
      </c>
      <c r="K30" s="7">
        <v>53.68</v>
      </c>
      <c r="L30" s="7">
        <v>41.94</v>
      </c>
      <c r="M30" s="7">
        <v>34.49</v>
      </c>
      <c r="N30" s="7">
        <v>102.24</v>
      </c>
      <c r="O30" s="7">
        <v>123.74</v>
      </c>
      <c r="P30" s="7">
        <v>75.489999999999995</v>
      </c>
      <c r="Q30" s="7">
        <v>100.13</v>
      </c>
      <c r="R30" s="7">
        <v>141.61000000000001</v>
      </c>
      <c r="S30" s="7">
        <v>131.5</v>
      </c>
      <c r="T30" s="7"/>
      <c r="U30" s="7"/>
      <c r="V30" s="7"/>
      <c r="W30" s="7"/>
    </row>
    <row r="31" spans="1:23" ht="17.25" x14ac:dyDescent="0.2">
      <c r="A31" s="8" t="s">
        <v>297</v>
      </c>
      <c r="B31" s="7" t="s">
        <v>117</v>
      </c>
      <c r="C31" s="7">
        <v>123.78</v>
      </c>
      <c r="D31" s="7">
        <v>136.83000000000001</v>
      </c>
      <c r="E31" s="7">
        <v>105.24</v>
      </c>
      <c r="F31" s="7">
        <v>110.61</v>
      </c>
      <c r="G31" s="7">
        <v>108.84</v>
      </c>
      <c r="H31" s="7">
        <v>185.96</v>
      </c>
      <c r="I31" s="7">
        <v>67.61</v>
      </c>
      <c r="J31" s="7">
        <v>28.88</v>
      </c>
      <c r="K31" s="7">
        <v>48.7</v>
      </c>
      <c r="L31" s="7">
        <v>43.69</v>
      </c>
      <c r="M31" s="7">
        <v>32.950000000000003</v>
      </c>
      <c r="N31" s="7">
        <v>102.18</v>
      </c>
      <c r="O31" s="7">
        <v>116.73</v>
      </c>
      <c r="P31" s="7">
        <v>67.12</v>
      </c>
      <c r="Q31" s="7">
        <v>99.72</v>
      </c>
      <c r="R31" s="7">
        <v>149.12</v>
      </c>
      <c r="S31" s="7">
        <v>129.19999999999999</v>
      </c>
      <c r="T31" s="7"/>
      <c r="U31" s="7"/>
      <c r="V31" s="7"/>
      <c r="W31" s="7"/>
    </row>
    <row r="32" spans="1:23" ht="17.25" x14ac:dyDescent="0.2">
      <c r="A32" s="8" t="s">
        <v>298</v>
      </c>
      <c r="B32" s="7" t="s">
        <v>117</v>
      </c>
      <c r="C32" s="7">
        <v>125.02</v>
      </c>
      <c r="D32" s="7">
        <v>140.47999999999999</v>
      </c>
      <c r="E32" s="7">
        <v>108.88</v>
      </c>
      <c r="F32" s="7">
        <v>105.54</v>
      </c>
      <c r="G32" s="7">
        <v>119.31</v>
      </c>
      <c r="H32" s="7">
        <v>196.98</v>
      </c>
      <c r="I32" s="7">
        <v>73.5</v>
      </c>
      <c r="J32" s="7">
        <v>28.5</v>
      </c>
      <c r="K32" s="7">
        <v>46.98</v>
      </c>
      <c r="L32" s="7">
        <v>47.41</v>
      </c>
      <c r="M32" s="7">
        <v>33.65</v>
      </c>
      <c r="N32" s="7">
        <v>101.88</v>
      </c>
      <c r="O32" s="7">
        <v>122.63</v>
      </c>
      <c r="P32" s="7">
        <v>64.040000000000006</v>
      </c>
      <c r="Q32" s="7">
        <v>106.84</v>
      </c>
      <c r="R32" s="7">
        <v>147.91999999999999</v>
      </c>
      <c r="S32" s="7">
        <v>135.94</v>
      </c>
      <c r="T32" s="7"/>
      <c r="U32" s="7"/>
      <c r="V32" s="7"/>
      <c r="W32" s="7"/>
    </row>
    <row r="33" spans="1:23" ht="17.25" x14ac:dyDescent="0.2">
      <c r="A33" s="8" t="s">
        <v>299</v>
      </c>
      <c r="B33" s="7" t="s">
        <v>117</v>
      </c>
      <c r="C33" s="7">
        <v>124.16</v>
      </c>
      <c r="D33" s="7">
        <v>148.13</v>
      </c>
      <c r="E33" s="7">
        <v>112.61</v>
      </c>
      <c r="F33" s="7">
        <v>116.7</v>
      </c>
      <c r="G33" s="7">
        <v>115.99</v>
      </c>
      <c r="H33" s="7">
        <v>205.87</v>
      </c>
      <c r="I33" s="7">
        <v>70.48</v>
      </c>
      <c r="J33" s="7">
        <v>27.98</v>
      </c>
      <c r="K33" s="7">
        <v>51.18</v>
      </c>
      <c r="L33" s="7">
        <v>43</v>
      </c>
      <c r="M33" s="7">
        <v>32.5</v>
      </c>
      <c r="N33" s="7">
        <v>120.12</v>
      </c>
      <c r="O33" s="7">
        <v>121.7</v>
      </c>
      <c r="P33" s="7">
        <v>69.819999999999993</v>
      </c>
      <c r="Q33" s="7">
        <v>99.16</v>
      </c>
      <c r="R33" s="7">
        <v>141.82</v>
      </c>
      <c r="S33" s="7">
        <v>133.91999999999999</v>
      </c>
      <c r="T33" s="7"/>
      <c r="U33" s="7"/>
      <c r="V33" s="7"/>
      <c r="W33" s="7"/>
    </row>
    <row r="34" spans="1:23" ht="17.25" x14ac:dyDescent="0.2">
      <c r="A34" s="8" t="s">
        <v>300</v>
      </c>
      <c r="B34" s="7" t="s">
        <v>117</v>
      </c>
      <c r="C34" s="7">
        <v>118.69</v>
      </c>
      <c r="D34" s="7">
        <v>142.5</v>
      </c>
      <c r="E34" s="7">
        <v>103.27</v>
      </c>
      <c r="F34" s="7">
        <v>107.38</v>
      </c>
      <c r="G34" s="7">
        <v>114.05</v>
      </c>
      <c r="H34" s="7">
        <v>183.5</v>
      </c>
      <c r="I34" s="7">
        <v>71.25</v>
      </c>
      <c r="J34" s="7">
        <v>23.18</v>
      </c>
      <c r="K34" s="7">
        <v>47.13</v>
      </c>
      <c r="L34" s="7">
        <v>40.840000000000003</v>
      </c>
      <c r="M34" s="7">
        <v>34.5</v>
      </c>
      <c r="N34" s="7">
        <v>106.64</v>
      </c>
      <c r="O34" s="7">
        <v>125.05</v>
      </c>
      <c r="P34" s="7">
        <v>68.31</v>
      </c>
      <c r="Q34" s="7">
        <v>96.08</v>
      </c>
      <c r="R34" s="7">
        <v>131.01</v>
      </c>
      <c r="S34" s="7">
        <v>126.42</v>
      </c>
      <c r="T34" s="7"/>
      <c r="U34" s="7"/>
      <c r="V34" s="7"/>
      <c r="W34" s="7"/>
    </row>
    <row r="35" spans="1:23" ht="17.25" x14ac:dyDescent="0.2">
      <c r="A35" s="8" t="s">
        <v>301</v>
      </c>
      <c r="B35" s="7" t="s">
        <v>117</v>
      </c>
      <c r="C35" s="7">
        <v>115.93</v>
      </c>
      <c r="D35" s="7">
        <v>142.84</v>
      </c>
      <c r="E35" s="7">
        <v>106.35</v>
      </c>
      <c r="F35" s="7">
        <v>107.26</v>
      </c>
      <c r="G35" s="7">
        <v>107.87</v>
      </c>
      <c r="H35" s="7">
        <v>183.08</v>
      </c>
      <c r="I35" s="7">
        <v>71.03</v>
      </c>
      <c r="J35" s="7">
        <v>24</v>
      </c>
      <c r="K35" s="7">
        <v>48.02</v>
      </c>
      <c r="L35" s="7">
        <v>39.590000000000003</v>
      </c>
      <c r="M35" s="7">
        <v>32.81</v>
      </c>
      <c r="N35" s="7">
        <v>96.64</v>
      </c>
      <c r="O35" s="7">
        <v>124.22</v>
      </c>
      <c r="P35" s="7">
        <v>65.81</v>
      </c>
      <c r="Q35" s="7">
        <v>85.6</v>
      </c>
      <c r="R35" s="7">
        <v>134.27000000000001</v>
      </c>
      <c r="S35" s="7">
        <v>124.64</v>
      </c>
      <c r="T35" s="7"/>
      <c r="U35" s="7"/>
      <c r="V35" s="7"/>
      <c r="W35" s="7"/>
    </row>
    <row r="36" spans="1:23" ht="17.25" x14ac:dyDescent="0.2">
      <c r="A36" s="8" t="s">
        <v>302</v>
      </c>
      <c r="B36" s="7" t="s">
        <v>117</v>
      </c>
      <c r="C36" s="7">
        <v>125.98</v>
      </c>
      <c r="D36" s="7">
        <v>147.12</v>
      </c>
      <c r="E36" s="7">
        <v>112.43</v>
      </c>
      <c r="F36" s="7">
        <v>114.63</v>
      </c>
      <c r="G36" s="7">
        <v>116.56</v>
      </c>
      <c r="H36" s="7">
        <v>189.9</v>
      </c>
      <c r="I36" s="7">
        <v>73.52</v>
      </c>
      <c r="J36" s="7">
        <v>30.79</v>
      </c>
      <c r="K36" s="7">
        <v>49.27</v>
      </c>
      <c r="L36" s="7">
        <v>45.3</v>
      </c>
      <c r="M36" s="7">
        <v>33.880000000000003</v>
      </c>
      <c r="N36" s="7">
        <v>102.93</v>
      </c>
      <c r="O36" s="7">
        <v>117.58</v>
      </c>
      <c r="P36" s="7">
        <v>64.959999999999994</v>
      </c>
      <c r="Q36" s="7">
        <v>102.19</v>
      </c>
      <c r="R36" s="7">
        <v>138.22999999999999</v>
      </c>
      <c r="S36" s="7">
        <v>134.66999999999999</v>
      </c>
      <c r="T36" s="7"/>
      <c r="U36" s="7"/>
      <c r="V36" s="7"/>
      <c r="W36" s="7"/>
    </row>
    <row r="37" spans="1:23" ht="17.25" x14ac:dyDescent="0.2">
      <c r="A37" s="9" t="s">
        <v>303</v>
      </c>
      <c r="B37" s="7" t="s">
        <v>117</v>
      </c>
      <c r="C37" s="7">
        <v>121.96</v>
      </c>
      <c r="D37" s="7">
        <v>146.66</v>
      </c>
      <c r="E37" s="7">
        <v>105.92</v>
      </c>
      <c r="F37" s="7">
        <v>104.62</v>
      </c>
      <c r="G37" s="7">
        <v>119.05</v>
      </c>
      <c r="H37" s="7">
        <v>189.37</v>
      </c>
      <c r="I37" s="7">
        <v>63.9</v>
      </c>
      <c r="J37" s="7">
        <v>24.88</v>
      </c>
      <c r="K37" s="7">
        <v>57.22</v>
      </c>
      <c r="L37" s="7">
        <v>42.49</v>
      </c>
      <c r="M37" s="7">
        <v>34.770000000000003</v>
      </c>
      <c r="N37" s="7">
        <v>95.92</v>
      </c>
      <c r="O37" s="7">
        <v>122.61</v>
      </c>
      <c r="P37" s="7">
        <v>73.319999999999993</v>
      </c>
      <c r="Q37" s="7">
        <v>95.3</v>
      </c>
      <c r="R37" s="7">
        <v>138.21</v>
      </c>
      <c r="S37" s="7">
        <v>130.87</v>
      </c>
      <c r="T37" s="7"/>
      <c r="U37" s="7"/>
      <c r="V37" s="7"/>
      <c r="W37" s="7"/>
    </row>
    <row r="38" spans="1:23" ht="17.25" x14ac:dyDescent="0.2">
      <c r="A38" s="9" t="s">
        <v>304</v>
      </c>
      <c r="B38" s="7" t="s">
        <v>117</v>
      </c>
      <c r="C38" s="7">
        <v>127.79</v>
      </c>
      <c r="D38" s="7">
        <v>149.36000000000001</v>
      </c>
      <c r="E38" s="7">
        <v>112.06</v>
      </c>
      <c r="F38" s="7">
        <v>107.76</v>
      </c>
      <c r="G38" s="7">
        <v>121.24</v>
      </c>
      <c r="H38" s="7">
        <v>198.3</v>
      </c>
      <c r="I38" s="7">
        <v>75.39</v>
      </c>
      <c r="J38" s="7">
        <v>25.24</v>
      </c>
      <c r="K38" s="7">
        <v>52.12</v>
      </c>
      <c r="L38" s="7">
        <v>44.73</v>
      </c>
      <c r="M38" s="7">
        <v>35.5</v>
      </c>
      <c r="N38" s="7">
        <v>105.93</v>
      </c>
      <c r="O38" s="7">
        <v>122.08</v>
      </c>
      <c r="P38" s="7">
        <v>74.489999999999995</v>
      </c>
      <c r="Q38" s="7">
        <v>98.48</v>
      </c>
      <c r="R38" s="7">
        <v>143.75</v>
      </c>
      <c r="S38" s="7">
        <v>145.66</v>
      </c>
      <c r="T38" s="7"/>
      <c r="U38" s="7"/>
      <c r="V38" s="7"/>
      <c r="W38" s="7"/>
    </row>
    <row r="39" spans="1:23" ht="17.25" x14ac:dyDescent="0.2">
      <c r="A39" s="9" t="s">
        <v>305</v>
      </c>
      <c r="B39" s="7" t="s">
        <v>117</v>
      </c>
      <c r="C39" s="7">
        <v>118.32</v>
      </c>
      <c r="D39" s="7">
        <v>134.07</v>
      </c>
      <c r="E39" s="7">
        <v>104.63</v>
      </c>
      <c r="F39" s="7">
        <v>99.41</v>
      </c>
      <c r="G39" s="7">
        <v>108.79</v>
      </c>
      <c r="H39" s="7">
        <v>190.47</v>
      </c>
      <c r="I39" s="7">
        <v>68.58</v>
      </c>
      <c r="J39" s="7">
        <v>24.78</v>
      </c>
      <c r="K39" s="7">
        <v>54.74</v>
      </c>
      <c r="L39" s="7">
        <v>41.65</v>
      </c>
      <c r="M39" s="7">
        <v>40.26</v>
      </c>
      <c r="N39" s="7">
        <v>94.69</v>
      </c>
      <c r="O39" s="7">
        <v>119.53</v>
      </c>
      <c r="P39" s="7">
        <v>75.27</v>
      </c>
      <c r="Q39" s="7">
        <v>93.33</v>
      </c>
      <c r="R39" s="7">
        <v>135.63999999999999</v>
      </c>
      <c r="S39" s="7">
        <v>129.91999999999999</v>
      </c>
      <c r="T39" s="7"/>
      <c r="U39" s="7"/>
      <c r="V39" s="7"/>
      <c r="W39" s="7"/>
    </row>
    <row r="40" spans="1:23" ht="17.25" x14ac:dyDescent="0.2">
      <c r="A40" s="9" t="s">
        <v>306</v>
      </c>
      <c r="B40" s="7" t="s">
        <v>117</v>
      </c>
      <c r="C40" s="7">
        <v>123.08</v>
      </c>
      <c r="D40" s="7">
        <v>140.69</v>
      </c>
      <c r="E40" s="7">
        <v>111.99</v>
      </c>
      <c r="F40" s="7">
        <v>107.39</v>
      </c>
      <c r="G40" s="7">
        <v>121.62</v>
      </c>
      <c r="H40" s="7">
        <v>190.83</v>
      </c>
      <c r="I40" s="7">
        <v>65.62</v>
      </c>
      <c r="J40" s="7">
        <v>25.25</v>
      </c>
      <c r="K40" s="7">
        <v>51.74</v>
      </c>
      <c r="L40" s="7">
        <v>45.96</v>
      </c>
      <c r="M40" s="7">
        <v>38.67</v>
      </c>
      <c r="N40" s="7">
        <v>94.98</v>
      </c>
      <c r="O40" s="7">
        <v>114.45</v>
      </c>
      <c r="P40" s="7">
        <v>69.38</v>
      </c>
      <c r="Q40" s="7">
        <v>110.87</v>
      </c>
      <c r="R40" s="7">
        <v>140.28</v>
      </c>
      <c r="S40" s="7">
        <v>133.99</v>
      </c>
      <c r="T40" s="7"/>
      <c r="U40" s="7"/>
      <c r="V40" s="7"/>
      <c r="W40" s="7"/>
    </row>
    <row r="41" spans="1:23" ht="17.25" x14ac:dyDescent="0.2">
      <c r="A41" s="9" t="s">
        <v>307</v>
      </c>
      <c r="B41" s="7" t="s">
        <v>117</v>
      </c>
      <c r="C41" s="7">
        <v>120.38</v>
      </c>
      <c r="D41" s="7">
        <v>142.57</v>
      </c>
      <c r="E41" s="7">
        <v>104.88</v>
      </c>
      <c r="F41" s="7">
        <v>105.2</v>
      </c>
      <c r="G41" s="7">
        <v>110.03</v>
      </c>
      <c r="H41" s="7">
        <v>195.17</v>
      </c>
      <c r="I41" s="7">
        <v>68.05</v>
      </c>
      <c r="J41" s="7">
        <v>29.41</v>
      </c>
      <c r="K41" s="7">
        <v>53.65</v>
      </c>
      <c r="L41" s="7">
        <v>45.93</v>
      </c>
      <c r="M41" s="7">
        <v>37.06</v>
      </c>
      <c r="N41" s="7">
        <v>103.58</v>
      </c>
      <c r="O41" s="7">
        <v>130.29</v>
      </c>
      <c r="P41" s="7">
        <v>70.14</v>
      </c>
      <c r="Q41" s="7">
        <v>107.15</v>
      </c>
      <c r="R41" s="7">
        <v>133.84</v>
      </c>
      <c r="S41" s="7">
        <v>133.83000000000001</v>
      </c>
      <c r="T41" s="7"/>
      <c r="U41" s="7"/>
      <c r="V41" s="7"/>
      <c r="W41" s="7"/>
    </row>
    <row r="42" spans="1:23" ht="34.5" x14ac:dyDescent="0.2">
      <c r="A42" s="9" t="s">
        <v>308</v>
      </c>
      <c r="B42" s="7" t="s">
        <v>117</v>
      </c>
      <c r="C42" s="7">
        <v>119.83</v>
      </c>
      <c r="D42" s="7">
        <v>145.69</v>
      </c>
      <c r="E42" s="7">
        <v>112.97</v>
      </c>
      <c r="F42" s="7">
        <v>114.06</v>
      </c>
      <c r="G42" s="7">
        <v>116.51</v>
      </c>
      <c r="H42" s="7">
        <v>188.16</v>
      </c>
      <c r="I42" s="7">
        <v>70.3</v>
      </c>
      <c r="J42" s="7">
        <v>29.61</v>
      </c>
      <c r="K42" s="7">
        <v>51.83</v>
      </c>
      <c r="L42" s="7">
        <v>41.65</v>
      </c>
      <c r="M42" s="7">
        <v>33.770000000000003</v>
      </c>
      <c r="N42" s="7">
        <v>101.06</v>
      </c>
      <c r="O42" s="7">
        <v>121.7</v>
      </c>
      <c r="P42" s="7">
        <v>70.099999999999994</v>
      </c>
      <c r="Q42" s="7">
        <v>100</v>
      </c>
      <c r="R42" s="7">
        <v>138.07</v>
      </c>
      <c r="S42" s="7">
        <v>132.56</v>
      </c>
      <c r="T42" s="7"/>
      <c r="U42" s="7"/>
      <c r="V42" s="7"/>
      <c r="W42" s="7" t="s">
        <v>309</v>
      </c>
    </row>
    <row r="43" spans="1:23" ht="17.25" x14ac:dyDescent="0.2">
      <c r="A43" s="9" t="s">
        <v>310</v>
      </c>
      <c r="B43" s="7" t="s">
        <v>117</v>
      </c>
      <c r="C43" s="7">
        <v>115.18</v>
      </c>
      <c r="D43" s="7">
        <v>140.25</v>
      </c>
      <c r="E43" s="7">
        <v>107.56</v>
      </c>
      <c r="F43" s="7">
        <v>97.63</v>
      </c>
      <c r="G43" s="7">
        <v>116.24</v>
      </c>
      <c r="H43" s="7">
        <v>195.2</v>
      </c>
      <c r="I43" s="7">
        <v>62.01</v>
      </c>
      <c r="J43" s="7">
        <v>27.31</v>
      </c>
      <c r="K43" s="7">
        <v>52.19</v>
      </c>
      <c r="L43" s="7">
        <v>42.83</v>
      </c>
      <c r="M43" s="7">
        <v>35.299999999999997</v>
      </c>
      <c r="N43" s="7">
        <v>105.04</v>
      </c>
      <c r="O43" s="7">
        <v>120.15</v>
      </c>
      <c r="P43" s="7">
        <v>69.33</v>
      </c>
      <c r="Q43" s="7">
        <v>93.38</v>
      </c>
      <c r="R43" s="7">
        <v>132.65</v>
      </c>
      <c r="S43" s="7">
        <v>121.43</v>
      </c>
      <c r="T43" s="7"/>
      <c r="U43" s="7"/>
      <c r="V43" s="7"/>
      <c r="W43" s="7"/>
    </row>
    <row r="44" spans="1:23" ht="17.25" x14ac:dyDescent="0.2">
      <c r="A44" s="9" t="s">
        <v>311</v>
      </c>
      <c r="B44" s="7" t="s">
        <v>117</v>
      </c>
      <c r="C44" s="7">
        <v>124.9</v>
      </c>
      <c r="D44" s="7">
        <v>145.13</v>
      </c>
      <c r="E44" s="7">
        <v>113.09</v>
      </c>
      <c r="F44" s="7">
        <v>108.58</v>
      </c>
      <c r="G44" s="7">
        <v>119.96</v>
      </c>
      <c r="H44" s="7">
        <v>197.64</v>
      </c>
      <c r="I44" s="7">
        <v>64.84</v>
      </c>
      <c r="J44" s="7">
        <v>22.99</v>
      </c>
      <c r="K44" s="7">
        <v>50.26</v>
      </c>
      <c r="L44" s="7">
        <v>44.15</v>
      </c>
      <c r="M44" s="7">
        <v>35.57</v>
      </c>
      <c r="N44" s="7">
        <v>106.21</v>
      </c>
      <c r="O44" s="7">
        <v>113.1</v>
      </c>
      <c r="P44" s="7">
        <v>70.33</v>
      </c>
      <c r="Q44" s="7">
        <v>106</v>
      </c>
      <c r="R44" s="7">
        <v>144.26</v>
      </c>
      <c r="S44" s="7">
        <v>132.97</v>
      </c>
      <c r="T44" s="7"/>
      <c r="U44" s="7"/>
      <c r="V44" s="7"/>
      <c r="W44" s="7"/>
    </row>
    <row r="45" spans="1:23" ht="17.25" x14ac:dyDescent="0.2">
      <c r="A45" s="9" t="s">
        <v>312</v>
      </c>
      <c r="B45" s="7" t="s">
        <v>117</v>
      </c>
      <c r="C45" s="7">
        <v>126.43</v>
      </c>
      <c r="D45" s="7">
        <v>143.51</v>
      </c>
      <c r="E45" s="7">
        <v>110.89</v>
      </c>
      <c r="F45" s="7">
        <v>104.61</v>
      </c>
      <c r="G45" s="7">
        <v>117.41</v>
      </c>
      <c r="H45" s="7">
        <v>192.52</v>
      </c>
      <c r="I45" s="7">
        <v>67.42</v>
      </c>
      <c r="J45" s="7">
        <v>26.81</v>
      </c>
      <c r="K45" s="7">
        <v>56.78</v>
      </c>
      <c r="L45" s="7">
        <v>43.09</v>
      </c>
      <c r="M45" s="7">
        <v>34.229999999999997</v>
      </c>
      <c r="N45" s="7">
        <v>88.78</v>
      </c>
      <c r="O45" s="7">
        <v>129.41</v>
      </c>
      <c r="P45" s="7">
        <v>73.17</v>
      </c>
      <c r="Q45" s="7">
        <v>103.66</v>
      </c>
      <c r="R45" s="7">
        <v>138.31</v>
      </c>
      <c r="S45" s="7">
        <v>135.51</v>
      </c>
      <c r="T45" s="7"/>
      <c r="U45" s="7"/>
      <c r="V45" s="7"/>
      <c r="W45" s="7"/>
    </row>
    <row r="46" spans="1:23" ht="17.25" x14ac:dyDescent="0.2">
      <c r="A46" s="9" t="s">
        <v>313</v>
      </c>
      <c r="B46" s="7" t="s">
        <v>117</v>
      </c>
      <c r="C46" s="7">
        <v>120.86</v>
      </c>
      <c r="D46" s="7">
        <v>142.51</v>
      </c>
      <c r="E46" s="7">
        <v>114.73</v>
      </c>
      <c r="F46" s="7">
        <v>106.87</v>
      </c>
      <c r="G46" s="7">
        <v>112.62</v>
      </c>
      <c r="H46" s="7">
        <v>196.83</v>
      </c>
      <c r="I46" s="7">
        <v>69.150000000000006</v>
      </c>
      <c r="J46" s="7">
        <v>30.52</v>
      </c>
      <c r="K46" s="7">
        <v>58.76</v>
      </c>
      <c r="L46" s="7">
        <v>45.18</v>
      </c>
      <c r="M46" s="7">
        <v>36.21</v>
      </c>
      <c r="N46" s="7">
        <v>95.94</v>
      </c>
      <c r="O46" s="7">
        <v>128.19</v>
      </c>
      <c r="P46" s="7">
        <v>74.34</v>
      </c>
      <c r="Q46" s="7">
        <v>103.09</v>
      </c>
      <c r="R46" s="7">
        <v>133.01</v>
      </c>
      <c r="S46" s="7">
        <v>133.21</v>
      </c>
      <c r="T46" s="7"/>
      <c r="U46" s="7"/>
      <c r="V46" s="7"/>
      <c r="W4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7EEE-13E3-4501-9C8E-C751C2F81429}">
  <dimension ref="A1:V47"/>
  <sheetViews>
    <sheetView workbookViewId="0">
      <selection activeCell="B1" sqref="B1"/>
    </sheetView>
  </sheetViews>
  <sheetFormatPr defaultRowHeight="12.75" x14ac:dyDescent="0.2"/>
  <cols>
    <col min="1" max="1" width="9.85546875" bestFit="1" customWidth="1"/>
    <col min="2" max="2" width="5.140625" bestFit="1" customWidth="1"/>
    <col min="3" max="8" width="8.140625" bestFit="1" customWidth="1"/>
    <col min="9" max="10" width="6.85546875" bestFit="1" customWidth="1"/>
    <col min="11" max="11" width="7" bestFit="1" customWidth="1"/>
    <col min="12" max="13" width="7.42578125" bestFit="1" customWidth="1"/>
    <col min="14" max="15" width="8.140625" bestFit="1" customWidth="1"/>
    <col min="16" max="16" width="7.140625" bestFit="1" customWidth="1"/>
    <col min="17" max="17" width="6.85546875" bestFit="1" customWidth="1"/>
    <col min="18" max="19" width="8.140625" bestFit="1" customWidth="1"/>
    <col min="20" max="20" width="2.85546875" bestFit="1" customWidth="1"/>
    <col min="21" max="22" width="2.5703125" bestFit="1" customWidth="1"/>
  </cols>
  <sheetData>
    <row r="1" spans="1:22" ht="17.25" x14ac:dyDescent="0.2">
      <c r="A1" s="7"/>
      <c r="B1" s="8" t="s">
        <v>15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19</v>
      </c>
      <c r="L1" s="8" t="s">
        <v>20</v>
      </c>
      <c r="M1" s="8" t="s">
        <v>21</v>
      </c>
      <c r="N1" s="8" t="s">
        <v>13</v>
      </c>
      <c r="O1" s="8" t="s">
        <v>14</v>
      </c>
      <c r="P1" s="8" t="s">
        <v>22</v>
      </c>
      <c r="Q1" s="8" t="s">
        <v>16</v>
      </c>
      <c r="R1" s="8" t="s">
        <v>17</v>
      </c>
      <c r="S1" s="8" t="s">
        <v>18</v>
      </c>
      <c r="T1" s="8" t="s">
        <v>2</v>
      </c>
      <c r="U1" s="8" t="s">
        <v>3</v>
      </c>
      <c r="V1" s="8" t="s">
        <v>4</v>
      </c>
    </row>
    <row r="2" spans="1:22" ht="17.25" x14ac:dyDescent="0.2">
      <c r="A2" s="8" t="s">
        <v>314</v>
      </c>
      <c r="B2" s="7" t="s">
        <v>0</v>
      </c>
      <c r="C2" s="7">
        <v>119.31</v>
      </c>
      <c r="D2" s="7">
        <v>134.81</v>
      </c>
      <c r="E2" s="7">
        <v>95.53</v>
      </c>
      <c r="F2" s="7">
        <v>83.81</v>
      </c>
      <c r="G2" s="7">
        <v>107.19</v>
      </c>
      <c r="H2" s="7">
        <v>169.06</v>
      </c>
      <c r="I2" s="7">
        <v>60.75</v>
      </c>
      <c r="J2" s="7">
        <v>21.76</v>
      </c>
      <c r="K2" s="7">
        <v>51.68</v>
      </c>
      <c r="L2" s="7">
        <v>38.880000000000003</v>
      </c>
      <c r="M2" s="7">
        <v>33.54</v>
      </c>
      <c r="N2" s="7">
        <v>98.24</v>
      </c>
      <c r="O2" s="7">
        <v>110.37</v>
      </c>
      <c r="P2" s="7">
        <v>66.62</v>
      </c>
      <c r="Q2" s="7">
        <v>88.91</v>
      </c>
      <c r="R2" s="7">
        <v>137.63</v>
      </c>
      <c r="S2" s="7">
        <v>121.37</v>
      </c>
      <c r="T2" s="7"/>
      <c r="U2" s="7"/>
      <c r="V2" s="7"/>
    </row>
    <row r="3" spans="1:22" ht="17.25" x14ac:dyDescent="0.2">
      <c r="A3" s="8" t="s">
        <v>315</v>
      </c>
      <c r="B3" s="7" t="s">
        <v>0</v>
      </c>
      <c r="C3" s="7">
        <v>111.25</v>
      </c>
      <c r="D3" s="7">
        <v>133.18</v>
      </c>
      <c r="E3" s="7">
        <v>97.47</v>
      </c>
      <c r="F3" s="7">
        <v>97.69</v>
      </c>
      <c r="G3" s="7">
        <v>112.29</v>
      </c>
      <c r="H3" s="7">
        <v>170.42</v>
      </c>
      <c r="I3" s="7">
        <v>57.55</v>
      </c>
      <c r="J3" s="7">
        <v>23.53</v>
      </c>
      <c r="K3" s="7">
        <v>55.11</v>
      </c>
      <c r="L3" s="7">
        <v>37.630000000000003</v>
      </c>
      <c r="M3" s="7">
        <v>34.5</v>
      </c>
      <c r="N3" s="7">
        <v>85.28</v>
      </c>
      <c r="O3" s="7">
        <v>113.61</v>
      </c>
      <c r="P3" s="7">
        <v>69.83</v>
      </c>
      <c r="Q3" s="7">
        <v>89.3</v>
      </c>
      <c r="R3" s="7">
        <v>131.71</v>
      </c>
      <c r="S3" s="7">
        <v>114.78</v>
      </c>
      <c r="T3" s="7"/>
      <c r="U3" s="7"/>
      <c r="V3" s="7"/>
    </row>
    <row r="4" spans="1:22" ht="17.25" x14ac:dyDescent="0.2">
      <c r="A4" s="8" t="s">
        <v>316</v>
      </c>
      <c r="B4" s="7" t="s">
        <v>0</v>
      </c>
      <c r="C4" s="7">
        <v>127.01</v>
      </c>
      <c r="D4" s="7">
        <v>138.66999999999999</v>
      </c>
      <c r="E4" s="7">
        <v>96.48</v>
      </c>
      <c r="F4" s="7">
        <v>92.27</v>
      </c>
      <c r="G4" s="7">
        <v>110.52</v>
      </c>
      <c r="H4" s="7">
        <v>169.84</v>
      </c>
      <c r="I4" s="7">
        <v>66.64</v>
      </c>
      <c r="J4" s="7">
        <v>26.15</v>
      </c>
      <c r="K4" s="7">
        <v>46.89</v>
      </c>
      <c r="L4" s="7">
        <v>39.44</v>
      </c>
      <c r="M4" s="7">
        <v>32.54</v>
      </c>
      <c r="N4" s="7">
        <v>100.81</v>
      </c>
      <c r="O4" s="7">
        <v>106.85</v>
      </c>
      <c r="P4" s="7">
        <v>58.66</v>
      </c>
      <c r="Q4" s="7">
        <v>94.82</v>
      </c>
      <c r="R4" s="7">
        <v>144.36000000000001</v>
      </c>
      <c r="S4" s="7">
        <v>130.36000000000001</v>
      </c>
      <c r="T4" s="7"/>
      <c r="U4" s="7"/>
      <c r="V4" s="7"/>
    </row>
    <row r="5" spans="1:22" ht="17.25" x14ac:dyDescent="0.2">
      <c r="A5" s="8" t="s">
        <v>317</v>
      </c>
      <c r="B5" s="7" t="s">
        <v>0</v>
      </c>
      <c r="C5" s="7">
        <v>117.43</v>
      </c>
      <c r="D5" s="7">
        <v>137.43</v>
      </c>
      <c r="E5" s="7">
        <v>97.55</v>
      </c>
      <c r="F5" s="7">
        <v>96.73</v>
      </c>
      <c r="G5" s="7">
        <v>113.93</v>
      </c>
      <c r="H5" s="7">
        <v>180.59</v>
      </c>
      <c r="I5" s="7">
        <v>58.34</v>
      </c>
      <c r="J5" s="7">
        <v>24.7</v>
      </c>
      <c r="K5" s="7">
        <v>51.18</v>
      </c>
      <c r="L5" s="7">
        <v>40.11</v>
      </c>
      <c r="M5" s="7">
        <v>34.14</v>
      </c>
      <c r="N5" s="7">
        <v>98.2</v>
      </c>
      <c r="O5" s="7">
        <v>111.61</v>
      </c>
      <c r="P5" s="7">
        <v>64.680000000000007</v>
      </c>
      <c r="Q5" s="7">
        <v>91.36</v>
      </c>
      <c r="R5" s="7">
        <v>129.81</v>
      </c>
      <c r="S5" s="7">
        <v>125.23</v>
      </c>
      <c r="T5" s="7"/>
      <c r="U5" s="7"/>
      <c r="V5" s="7"/>
    </row>
    <row r="6" spans="1:22" ht="17.25" x14ac:dyDescent="0.2">
      <c r="A6" s="8" t="s">
        <v>318</v>
      </c>
      <c r="B6" s="7" t="s">
        <v>0</v>
      </c>
      <c r="C6" s="7">
        <v>119.04</v>
      </c>
      <c r="D6" s="7">
        <v>132.94</v>
      </c>
      <c r="E6" s="7">
        <v>98.74</v>
      </c>
      <c r="F6" s="7">
        <v>100.26</v>
      </c>
      <c r="G6" s="7">
        <v>110.18</v>
      </c>
      <c r="H6" s="7">
        <v>179.95</v>
      </c>
      <c r="I6" s="7">
        <v>64.14</v>
      </c>
      <c r="J6" s="7">
        <v>23.47</v>
      </c>
      <c r="K6" s="7">
        <v>51.42</v>
      </c>
      <c r="L6" s="7">
        <v>39.159999999999997</v>
      </c>
      <c r="M6" s="7">
        <v>32.29</v>
      </c>
      <c r="N6" s="7">
        <v>103.22</v>
      </c>
      <c r="O6" s="7">
        <v>112.56</v>
      </c>
      <c r="P6" s="7">
        <v>65.81</v>
      </c>
      <c r="Q6" s="7">
        <v>91.7</v>
      </c>
      <c r="R6" s="7">
        <v>135.31</v>
      </c>
      <c r="S6" s="7">
        <v>125.11</v>
      </c>
      <c r="T6" s="7"/>
      <c r="U6" s="7"/>
      <c r="V6" s="7"/>
    </row>
    <row r="7" spans="1:22" ht="17.25" x14ac:dyDescent="0.2">
      <c r="A7" s="8" t="s">
        <v>319</v>
      </c>
      <c r="B7" s="7" t="s">
        <v>0</v>
      </c>
      <c r="C7" s="7">
        <v>120.86</v>
      </c>
      <c r="D7" s="7">
        <v>139.47</v>
      </c>
      <c r="E7" s="7">
        <v>103.62</v>
      </c>
      <c r="F7" s="7">
        <v>99.64</v>
      </c>
      <c r="G7" s="7">
        <v>111.46</v>
      </c>
      <c r="H7" s="7">
        <v>183.96</v>
      </c>
      <c r="I7" s="7">
        <v>60.66</v>
      </c>
      <c r="J7" s="7">
        <v>25.87</v>
      </c>
      <c r="K7" s="7">
        <v>55.1</v>
      </c>
      <c r="L7" s="7">
        <v>40.04</v>
      </c>
      <c r="M7" s="7">
        <v>35.43</v>
      </c>
      <c r="N7" s="7">
        <v>101.77</v>
      </c>
      <c r="O7" s="7">
        <v>116.25</v>
      </c>
      <c r="P7" s="7">
        <v>72.37</v>
      </c>
      <c r="Q7" s="7">
        <v>93.84</v>
      </c>
      <c r="R7" s="7">
        <v>137.93</v>
      </c>
      <c r="S7" s="7">
        <v>127.97</v>
      </c>
      <c r="T7" s="7"/>
      <c r="U7" s="7"/>
      <c r="V7" s="7"/>
    </row>
    <row r="8" spans="1:22" ht="17.25" x14ac:dyDescent="0.2">
      <c r="A8" s="8" t="s">
        <v>320</v>
      </c>
      <c r="B8" s="7" t="s">
        <v>0</v>
      </c>
      <c r="C8" s="7">
        <v>121.13</v>
      </c>
      <c r="D8" s="7">
        <v>134.35</v>
      </c>
      <c r="E8" s="7">
        <v>99.06</v>
      </c>
      <c r="F8" s="7">
        <v>93.67</v>
      </c>
      <c r="G8" s="7">
        <v>113.29</v>
      </c>
      <c r="H8" s="7">
        <v>183.69</v>
      </c>
      <c r="I8" s="7">
        <v>65.56</v>
      </c>
      <c r="J8" s="7">
        <v>27.27</v>
      </c>
      <c r="K8" s="7">
        <v>53.63</v>
      </c>
      <c r="L8" s="7">
        <v>39.880000000000003</v>
      </c>
      <c r="M8" s="7">
        <v>33.14</v>
      </c>
      <c r="N8" s="7">
        <v>103.75</v>
      </c>
      <c r="O8" s="7">
        <v>113.42</v>
      </c>
      <c r="P8" s="7">
        <v>69.31</v>
      </c>
      <c r="Q8" s="7">
        <v>94.99</v>
      </c>
      <c r="R8" s="7">
        <v>137.15</v>
      </c>
      <c r="S8" s="7">
        <v>123.74</v>
      </c>
      <c r="T8" s="7"/>
      <c r="U8" s="7"/>
      <c r="V8" s="7"/>
    </row>
    <row r="9" spans="1:22" ht="17.25" x14ac:dyDescent="0.2">
      <c r="A9" s="8" t="s">
        <v>321</v>
      </c>
      <c r="B9" s="7" t="s">
        <v>0</v>
      </c>
      <c r="C9" s="7">
        <v>129.01</v>
      </c>
      <c r="D9" s="7">
        <v>133.96</v>
      </c>
      <c r="E9" s="7">
        <v>98.14</v>
      </c>
      <c r="F9" s="7">
        <v>92.68</v>
      </c>
      <c r="G9" s="7">
        <v>112.14</v>
      </c>
      <c r="H9" s="7">
        <v>169.1</v>
      </c>
      <c r="I9" s="7">
        <v>68.16</v>
      </c>
      <c r="J9" s="7">
        <v>23.89</v>
      </c>
      <c r="K9" s="7">
        <v>55.02</v>
      </c>
      <c r="L9" s="7">
        <v>41.79</v>
      </c>
      <c r="M9" s="7">
        <v>35.69</v>
      </c>
      <c r="N9" s="7">
        <v>98.03</v>
      </c>
      <c r="O9" s="7">
        <v>97.26</v>
      </c>
      <c r="P9" s="7">
        <v>76.099999999999994</v>
      </c>
      <c r="Q9" s="7">
        <v>93.46</v>
      </c>
      <c r="R9" s="7">
        <v>150.72</v>
      </c>
      <c r="S9" s="7">
        <v>134.19</v>
      </c>
      <c r="T9" s="7"/>
      <c r="U9" s="7"/>
      <c r="V9" s="7"/>
    </row>
    <row r="10" spans="1:22" ht="17.25" x14ac:dyDescent="0.2">
      <c r="A10" s="8" t="s">
        <v>322</v>
      </c>
      <c r="B10" s="7" t="s">
        <v>0</v>
      </c>
      <c r="C10" s="7">
        <v>123.59</v>
      </c>
      <c r="D10" s="7">
        <v>134.32</v>
      </c>
      <c r="E10" s="7">
        <v>95.91</v>
      </c>
      <c r="F10" s="7">
        <v>93.4</v>
      </c>
      <c r="G10" s="7">
        <v>112.58</v>
      </c>
      <c r="H10" s="7">
        <v>180.7</v>
      </c>
      <c r="I10" s="7">
        <v>61</v>
      </c>
      <c r="J10" s="7">
        <v>24.32</v>
      </c>
      <c r="K10" s="7">
        <v>48.74</v>
      </c>
      <c r="L10" s="7">
        <v>41.28</v>
      </c>
      <c r="M10" s="7">
        <v>33.31</v>
      </c>
      <c r="N10" s="7">
        <v>100.27</v>
      </c>
      <c r="O10" s="7">
        <v>113.93</v>
      </c>
      <c r="P10" s="7">
        <v>66.05</v>
      </c>
      <c r="Q10" s="7">
        <v>96.85</v>
      </c>
      <c r="R10" s="7">
        <v>142.13</v>
      </c>
      <c r="S10" s="7">
        <v>127.27</v>
      </c>
      <c r="T10" s="7"/>
      <c r="U10" s="7"/>
      <c r="V10" s="7"/>
    </row>
    <row r="11" spans="1:22" ht="17.25" x14ac:dyDescent="0.2">
      <c r="A11" s="8" t="s">
        <v>323</v>
      </c>
      <c r="B11" s="7" t="s">
        <v>0</v>
      </c>
      <c r="C11" s="7">
        <v>118.46</v>
      </c>
      <c r="D11" s="7">
        <v>140.5</v>
      </c>
      <c r="E11" s="7">
        <v>100.59</v>
      </c>
      <c r="F11" s="7">
        <v>89.08</v>
      </c>
      <c r="G11" s="7">
        <v>110.68</v>
      </c>
      <c r="H11" s="7">
        <v>164.26</v>
      </c>
      <c r="I11" s="7">
        <v>62.14</v>
      </c>
      <c r="J11" s="7">
        <v>22.79</v>
      </c>
      <c r="K11" s="7">
        <v>54.34</v>
      </c>
      <c r="L11" s="7">
        <v>39.76</v>
      </c>
      <c r="M11" s="7">
        <v>30.8</v>
      </c>
      <c r="N11" s="7">
        <v>95.57</v>
      </c>
      <c r="O11" s="7">
        <v>105.59</v>
      </c>
      <c r="P11" s="7">
        <v>68.03</v>
      </c>
      <c r="Q11" s="7">
        <v>89.69</v>
      </c>
      <c r="R11" s="7">
        <v>134.86000000000001</v>
      </c>
      <c r="S11" s="7">
        <v>122.46</v>
      </c>
      <c r="T11" s="7"/>
      <c r="U11" s="7"/>
      <c r="V11" s="7"/>
    </row>
    <row r="12" spans="1:22" ht="17.25" x14ac:dyDescent="0.2">
      <c r="A12" s="8" t="s">
        <v>324</v>
      </c>
      <c r="B12" s="7" t="s">
        <v>0</v>
      </c>
      <c r="C12" s="7">
        <v>117.99</v>
      </c>
      <c r="D12" s="7">
        <v>133.71</v>
      </c>
      <c r="E12" s="7">
        <v>97.88</v>
      </c>
      <c r="F12" s="7">
        <v>96.86</v>
      </c>
      <c r="G12" s="7">
        <v>112.78</v>
      </c>
      <c r="H12" s="7">
        <v>185.24</v>
      </c>
      <c r="I12" s="7">
        <v>61.96</v>
      </c>
      <c r="J12" s="7">
        <v>24.02</v>
      </c>
      <c r="K12" s="7">
        <v>52.98</v>
      </c>
      <c r="L12" s="7">
        <v>36.82</v>
      </c>
      <c r="M12" s="7">
        <v>31.24</v>
      </c>
      <c r="N12" s="7">
        <v>101.34</v>
      </c>
      <c r="O12" s="7">
        <v>119.77</v>
      </c>
      <c r="P12" s="7">
        <v>70</v>
      </c>
      <c r="Q12" s="7">
        <v>88.49</v>
      </c>
      <c r="R12" s="7">
        <v>141.28</v>
      </c>
      <c r="S12" s="7">
        <v>119.76</v>
      </c>
      <c r="T12" s="7"/>
      <c r="U12" s="7"/>
      <c r="V12" s="7"/>
    </row>
    <row r="13" spans="1:22" ht="17.25" x14ac:dyDescent="0.2">
      <c r="A13" s="8" t="s">
        <v>325</v>
      </c>
      <c r="B13" s="7" t="s">
        <v>0</v>
      </c>
      <c r="C13" s="7">
        <v>115.34</v>
      </c>
      <c r="D13" s="7">
        <v>126.16</v>
      </c>
      <c r="E13" s="7">
        <v>93.25</v>
      </c>
      <c r="F13" s="7">
        <v>89.27</v>
      </c>
      <c r="G13" s="7">
        <v>101.77</v>
      </c>
      <c r="H13" s="7">
        <v>180.84</v>
      </c>
      <c r="I13" s="7">
        <v>61.95</v>
      </c>
      <c r="J13" s="7">
        <v>24.16</v>
      </c>
      <c r="K13" s="7">
        <v>50.85</v>
      </c>
      <c r="L13" s="7">
        <v>37.049999999999997</v>
      </c>
      <c r="M13" s="7">
        <v>35.909999999999997</v>
      </c>
      <c r="N13" s="7">
        <v>114.08</v>
      </c>
      <c r="O13" s="7">
        <v>103.32</v>
      </c>
      <c r="P13" s="7">
        <v>63.97</v>
      </c>
      <c r="Q13" s="7">
        <v>90</v>
      </c>
      <c r="R13" s="7">
        <v>130.09</v>
      </c>
      <c r="S13" s="7">
        <v>118.77</v>
      </c>
      <c r="T13" s="7"/>
      <c r="U13" s="7"/>
      <c r="V13" s="7"/>
    </row>
    <row r="14" spans="1:22" ht="17.25" x14ac:dyDescent="0.2">
      <c r="A14" s="8" t="s">
        <v>326</v>
      </c>
      <c r="B14" s="7" t="s">
        <v>0</v>
      </c>
      <c r="C14" s="7">
        <v>119.49</v>
      </c>
      <c r="D14" s="7">
        <v>138.63999999999999</v>
      </c>
      <c r="E14" s="7">
        <v>97.66</v>
      </c>
      <c r="F14" s="7">
        <v>91.61</v>
      </c>
      <c r="G14" s="7">
        <v>111.55</v>
      </c>
      <c r="H14" s="7">
        <v>182.28</v>
      </c>
      <c r="I14" s="7">
        <v>61.57</v>
      </c>
      <c r="J14" s="7">
        <v>25.99</v>
      </c>
      <c r="K14" s="7">
        <v>53.13</v>
      </c>
      <c r="L14" s="7">
        <v>38</v>
      </c>
      <c r="M14" s="7">
        <v>33.24</v>
      </c>
      <c r="N14" s="7">
        <v>102.25</v>
      </c>
      <c r="O14" s="7">
        <v>118.61</v>
      </c>
      <c r="P14" s="7">
        <v>68.37</v>
      </c>
      <c r="Q14" s="7">
        <v>83.46</v>
      </c>
      <c r="R14" s="7">
        <v>133.63</v>
      </c>
      <c r="S14" s="7">
        <v>124.7</v>
      </c>
      <c r="T14" s="7"/>
      <c r="U14" s="7"/>
      <c r="V14" s="7"/>
    </row>
    <row r="15" spans="1:22" ht="17.25" x14ac:dyDescent="0.2">
      <c r="A15" s="8" t="s">
        <v>327</v>
      </c>
      <c r="B15" s="7" t="s">
        <v>0</v>
      </c>
      <c r="C15" s="7">
        <v>127.69</v>
      </c>
      <c r="D15" s="7">
        <v>136.97</v>
      </c>
      <c r="E15" s="7">
        <v>98.23</v>
      </c>
      <c r="F15" s="7">
        <v>93.49</v>
      </c>
      <c r="G15" s="7">
        <v>109.99</v>
      </c>
      <c r="H15" s="7">
        <v>181.54</v>
      </c>
      <c r="I15" s="7">
        <v>64.58</v>
      </c>
      <c r="J15" s="7">
        <v>25.92</v>
      </c>
      <c r="K15" s="7">
        <v>53.86</v>
      </c>
      <c r="L15" s="7">
        <v>41</v>
      </c>
      <c r="M15" s="7">
        <v>33.81</v>
      </c>
      <c r="N15" s="7">
        <v>105.4</v>
      </c>
      <c r="O15" s="7">
        <v>115.5</v>
      </c>
      <c r="P15" s="7">
        <v>66.95</v>
      </c>
      <c r="Q15" s="7">
        <v>97.89</v>
      </c>
      <c r="R15" s="7">
        <v>146.03</v>
      </c>
      <c r="S15" s="7">
        <v>132.47999999999999</v>
      </c>
      <c r="T15" s="7"/>
      <c r="U15" s="7"/>
      <c r="V15" s="7"/>
    </row>
    <row r="16" spans="1:22" ht="17.25" x14ac:dyDescent="0.2">
      <c r="A16" s="8" t="s">
        <v>328</v>
      </c>
      <c r="B16" s="7" t="s">
        <v>0</v>
      </c>
      <c r="C16" s="7">
        <v>124.12</v>
      </c>
      <c r="D16" s="7">
        <v>136.9</v>
      </c>
      <c r="E16" s="7">
        <v>101.78</v>
      </c>
      <c r="F16" s="7">
        <v>98.17</v>
      </c>
      <c r="G16" s="7">
        <v>102.48</v>
      </c>
      <c r="H16" s="7">
        <v>163.91</v>
      </c>
      <c r="I16" s="7">
        <v>63.83</v>
      </c>
      <c r="J16" s="7">
        <v>23.91</v>
      </c>
      <c r="K16" s="7">
        <v>53.23</v>
      </c>
      <c r="L16" s="7">
        <v>42.93</v>
      </c>
      <c r="M16" s="7">
        <v>36.22</v>
      </c>
      <c r="N16" s="7">
        <v>94.54</v>
      </c>
      <c r="O16" s="7">
        <v>110.13</v>
      </c>
      <c r="P16" s="7">
        <v>67.61</v>
      </c>
      <c r="Q16" s="7">
        <v>90.89</v>
      </c>
      <c r="R16" s="7">
        <v>145.32</v>
      </c>
      <c r="S16" s="7">
        <v>131.01</v>
      </c>
      <c r="T16" s="7"/>
      <c r="U16" s="7"/>
      <c r="V16" s="7"/>
    </row>
    <row r="17" spans="1:22" ht="17.25" x14ac:dyDescent="0.2">
      <c r="A17" s="8" t="s">
        <v>329</v>
      </c>
      <c r="B17" s="7" t="s">
        <v>0</v>
      </c>
      <c r="C17" s="7">
        <v>122.19</v>
      </c>
      <c r="D17" s="7">
        <v>134.19999999999999</v>
      </c>
      <c r="E17" s="7">
        <v>93.27</v>
      </c>
      <c r="F17" s="7">
        <v>88.53</v>
      </c>
      <c r="G17" s="7">
        <v>110.63</v>
      </c>
      <c r="H17" s="7">
        <v>172.98</v>
      </c>
      <c r="I17" s="7">
        <v>61.13</v>
      </c>
      <c r="J17" s="7">
        <v>25.42</v>
      </c>
      <c r="K17" s="7">
        <v>54.54</v>
      </c>
      <c r="L17" s="7">
        <v>44.17</v>
      </c>
      <c r="M17" s="7">
        <v>34.840000000000003</v>
      </c>
      <c r="N17" s="7">
        <v>102.39</v>
      </c>
      <c r="O17" s="7">
        <v>113.24</v>
      </c>
      <c r="P17" s="7">
        <v>73.400000000000006</v>
      </c>
      <c r="Q17" s="7">
        <v>93.08</v>
      </c>
      <c r="R17" s="7">
        <v>138.03</v>
      </c>
      <c r="S17" s="7">
        <v>123.96</v>
      </c>
      <c r="T17" s="7"/>
      <c r="U17" s="7"/>
      <c r="V17" s="7"/>
    </row>
    <row r="18" spans="1:22" ht="17.25" x14ac:dyDescent="0.2">
      <c r="A18" s="8" t="s">
        <v>330</v>
      </c>
      <c r="B18" s="7" t="s">
        <v>0</v>
      </c>
      <c r="C18" s="7">
        <v>117.63</v>
      </c>
      <c r="D18" s="7">
        <v>130.28</v>
      </c>
      <c r="E18" s="7">
        <v>98.26</v>
      </c>
      <c r="F18" s="7">
        <v>101.68</v>
      </c>
      <c r="G18" s="7">
        <v>106.37</v>
      </c>
      <c r="H18" s="7">
        <v>176.39</v>
      </c>
      <c r="I18" s="7">
        <v>59.34</v>
      </c>
      <c r="J18" s="7">
        <v>22.73</v>
      </c>
      <c r="K18" s="7">
        <v>51.03</v>
      </c>
      <c r="L18" s="7">
        <v>39.76</v>
      </c>
      <c r="M18" s="7">
        <v>32.33</v>
      </c>
      <c r="N18" s="7">
        <v>98.5</v>
      </c>
      <c r="O18" s="7">
        <v>114.39</v>
      </c>
      <c r="P18" s="7">
        <v>67.11</v>
      </c>
      <c r="Q18" s="7">
        <v>91.67</v>
      </c>
      <c r="R18" s="7">
        <v>138.41</v>
      </c>
      <c r="S18" s="7">
        <v>123.72</v>
      </c>
      <c r="T18" s="7"/>
      <c r="U18" s="7"/>
      <c r="V18" s="7"/>
    </row>
    <row r="19" spans="1:22" ht="17.25" x14ac:dyDescent="0.2">
      <c r="A19" s="8" t="s">
        <v>331</v>
      </c>
      <c r="B19" s="7" t="s">
        <v>0</v>
      </c>
      <c r="C19" s="7">
        <v>114.43</v>
      </c>
      <c r="D19" s="7">
        <v>136.54</v>
      </c>
      <c r="E19" s="7">
        <v>96.36</v>
      </c>
      <c r="F19" s="7">
        <v>90.05</v>
      </c>
      <c r="G19" s="7">
        <v>107.95</v>
      </c>
      <c r="H19" s="7">
        <v>187.92</v>
      </c>
      <c r="I19" s="7">
        <v>63.08</v>
      </c>
      <c r="J19" s="7">
        <v>23.96</v>
      </c>
      <c r="K19" s="7">
        <v>49.04</v>
      </c>
      <c r="L19" s="7">
        <v>40.06</v>
      </c>
      <c r="M19" s="7">
        <v>33.9</v>
      </c>
      <c r="N19" s="7">
        <v>114.55</v>
      </c>
      <c r="O19" s="7">
        <v>119.18</v>
      </c>
      <c r="P19" s="7">
        <v>63.73</v>
      </c>
      <c r="Q19" s="7">
        <v>91.14</v>
      </c>
      <c r="R19" s="7">
        <v>136.43</v>
      </c>
      <c r="S19" s="7">
        <v>122.01</v>
      </c>
      <c r="T19" s="7"/>
      <c r="U19" s="7"/>
      <c r="V19" s="7"/>
    </row>
    <row r="20" spans="1:22" ht="17.25" x14ac:dyDescent="0.2">
      <c r="A20" s="8" t="s">
        <v>332</v>
      </c>
      <c r="B20" s="7" t="s">
        <v>0</v>
      </c>
      <c r="C20" s="7">
        <v>122.65</v>
      </c>
      <c r="D20" s="7">
        <v>144.63</v>
      </c>
      <c r="E20" s="7">
        <v>98.6</v>
      </c>
      <c r="F20" s="7">
        <v>88.34</v>
      </c>
      <c r="G20" s="7">
        <v>116.85</v>
      </c>
      <c r="H20" s="7">
        <v>183.96</v>
      </c>
      <c r="I20" s="7">
        <v>58.86</v>
      </c>
      <c r="J20" s="7">
        <v>24.52</v>
      </c>
      <c r="K20" s="7">
        <v>50.68</v>
      </c>
      <c r="L20" s="7">
        <v>39.46</v>
      </c>
      <c r="M20" s="7">
        <v>35.729999999999997</v>
      </c>
      <c r="N20" s="7">
        <v>108.36</v>
      </c>
      <c r="O20" s="7">
        <v>119.25</v>
      </c>
      <c r="P20" s="7">
        <v>65.63</v>
      </c>
      <c r="Q20" s="7">
        <v>94.61</v>
      </c>
      <c r="R20" s="7">
        <v>143.91</v>
      </c>
      <c r="S20" s="7">
        <v>127.59</v>
      </c>
      <c r="T20" s="7"/>
      <c r="U20" s="7"/>
      <c r="V20" s="7"/>
    </row>
    <row r="21" spans="1:22" ht="17.25" x14ac:dyDescent="0.2">
      <c r="A21" s="8" t="s">
        <v>333</v>
      </c>
      <c r="B21" s="7" t="s">
        <v>0</v>
      </c>
      <c r="C21" s="7">
        <v>121.19</v>
      </c>
      <c r="D21" s="7">
        <v>131.93</v>
      </c>
      <c r="E21" s="7">
        <v>92.2</v>
      </c>
      <c r="F21" s="7">
        <v>88.93</v>
      </c>
      <c r="G21" s="7">
        <v>108.57</v>
      </c>
      <c r="H21" s="7">
        <v>171.11</v>
      </c>
      <c r="I21" s="7">
        <v>64.12</v>
      </c>
      <c r="J21" s="7">
        <v>24.33</v>
      </c>
      <c r="K21" s="7">
        <v>51.86</v>
      </c>
      <c r="L21" s="7">
        <v>38.19</v>
      </c>
      <c r="M21" s="7">
        <v>34.71</v>
      </c>
      <c r="N21" s="7">
        <v>97.52</v>
      </c>
      <c r="O21" s="7">
        <v>111.25</v>
      </c>
      <c r="P21" s="7">
        <v>68.25</v>
      </c>
      <c r="Q21" s="7">
        <v>89.95</v>
      </c>
      <c r="R21" s="7">
        <v>142.31</v>
      </c>
      <c r="S21" s="7">
        <v>126.58</v>
      </c>
      <c r="T21" s="7"/>
      <c r="U21" s="7"/>
      <c r="V21" s="7"/>
    </row>
    <row r="22" spans="1:22" ht="17.25" x14ac:dyDescent="0.2">
      <c r="A22" s="8" t="s">
        <v>334</v>
      </c>
      <c r="B22" s="7" t="s">
        <v>0</v>
      </c>
      <c r="C22" s="7">
        <v>123.89</v>
      </c>
      <c r="D22" s="7">
        <v>135.04</v>
      </c>
      <c r="E22" s="7">
        <v>92.9</v>
      </c>
      <c r="F22" s="7">
        <v>90.97</v>
      </c>
      <c r="G22" s="7">
        <v>112.84</v>
      </c>
      <c r="H22" s="7">
        <v>173.54</v>
      </c>
      <c r="I22" s="7">
        <v>66.56</v>
      </c>
      <c r="J22" s="7">
        <v>27.19</v>
      </c>
      <c r="K22" s="7">
        <v>47.76</v>
      </c>
      <c r="L22" s="7">
        <v>38.68</v>
      </c>
      <c r="M22" s="7">
        <v>33.19</v>
      </c>
      <c r="N22" s="7">
        <v>100.5</v>
      </c>
      <c r="O22" s="7">
        <v>111.46</v>
      </c>
      <c r="P22" s="7">
        <v>64.069999999999993</v>
      </c>
      <c r="Q22" s="7">
        <v>93.39</v>
      </c>
      <c r="R22" s="7">
        <v>142.09</v>
      </c>
      <c r="S22" s="7">
        <v>127.26</v>
      </c>
      <c r="T22" s="7"/>
      <c r="U22" s="7"/>
      <c r="V22" s="7"/>
    </row>
    <row r="23" spans="1:22" ht="17.25" x14ac:dyDescent="0.2">
      <c r="A23" s="8" t="s">
        <v>335</v>
      </c>
      <c r="B23" s="7" t="s">
        <v>0</v>
      </c>
      <c r="C23" s="7">
        <v>122.94</v>
      </c>
      <c r="D23" s="7">
        <v>137.05000000000001</v>
      </c>
      <c r="E23" s="7">
        <v>99.57</v>
      </c>
      <c r="F23" s="7">
        <v>95.51</v>
      </c>
      <c r="G23" s="7">
        <v>108.08</v>
      </c>
      <c r="H23" s="7">
        <v>179.37</v>
      </c>
      <c r="I23" s="7">
        <v>60.41</v>
      </c>
      <c r="J23" s="7">
        <v>23.81</v>
      </c>
      <c r="K23" s="7">
        <v>55.68</v>
      </c>
      <c r="L23" s="7">
        <v>42.38</v>
      </c>
      <c r="M23" s="7">
        <v>37.65</v>
      </c>
      <c r="N23" s="7">
        <v>104.55</v>
      </c>
      <c r="O23" s="7">
        <v>113.58</v>
      </c>
      <c r="P23" s="7">
        <v>79.66</v>
      </c>
      <c r="Q23" s="7">
        <v>93.1</v>
      </c>
      <c r="R23" s="7">
        <v>139.59</v>
      </c>
      <c r="S23" s="7">
        <v>128.51</v>
      </c>
      <c r="T23" s="7"/>
      <c r="U23" s="7"/>
      <c r="V23" s="7"/>
    </row>
    <row r="24" spans="1:22" ht="17.25" x14ac:dyDescent="0.2">
      <c r="A24" s="8" t="s">
        <v>336</v>
      </c>
      <c r="B24" s="7" t="s">
        <v>0</v>
      </c>
      <c r="C24" s="7">
        <v>128.31</v>
      </c>
      <c r="D24" s="7">
        <v>141.54</v>
      </c>
      <c r="E24" s="7">
        <v>97.89</v>
      </c>
      <c r="F24" s="7">
        <v>86.76</v>
      </c>
      <c r="G24" s="7">
        <v>112.81</v>
      </c>
      <c r="H24" s="7">
        <v>176.8</v>
      </c>
      <c r="I24" s="7">
        <v>65.33</v>
      </c>
      <c r="J24" s="7">
        <v>24.15</v>
      </c>
      <c r="K24" s="7">
        <v>53.8</v>
      </c>
      <c r="L24" s="7">
        <v>40.03</v>
      </c>
      <c r="M24" s="7">
        <v>35</v>
      </c>
      <c r="N24" s="7">
        <v>109.36</v>
      </c>
      <c r="O24" s="7">
        <v>107.16</v>
      </c>
      <c r="P24" s="7">
        <v>72.69</v>
      </c>
      <c r="Q24" s="7">
        <v>91.47</v>
      </c>
      <c r="R24" s="7">
        <v>138.38999999999999</v>
      </c>
      <c r="S24" s="7">
        <v>129.43</v>
      </c>
      <c r="T24" s="7"/>
      <c r="U24" s="7"/>
      <c r="V24" s="7"/>
    </row>
    <row r="25" spans="1:22" ht="17.25" x14ac:dyDescent="0.2">
      <c r="A25" s="8" t="s">
        <v>337</v>
      </c>
      <c r="B25" s="7" t="s">
        <v>0</v>
      </c>
      <c r="C25" s="7">
        <v>118.85</v>
      </c>
      <c r="D25" s="7">
        <v>141.01</v>
      </c>
      <c r="E25" s="7">
        <v>103.24</v>
      </c>
      <c r="F25" s="7">
        <v>90.8</v>
      </c>
      <c r="G25" s="7">
        <v>114.24</v>
      </c>
      <c r="H25" s="7">
        <v>191.13</v>
      </c>
      <c r="I25" s="7">
        <v>60.28</v>
      </c>
      <c r="J25" s="7">
        <v>25.16</v>
      </c>
      <c r="K25" s="7">
        <v>54.09</v>
      </c>
      <c r="L25" s="7">
        <v>41.17</v>
      </c>
      <c r="M25" s="7">
        <v>37.54</v>
      </c>
      <c r="N25" s="7">
        <v>104.86</v>
      </c>
      <c r="O25" s="7">
        <v>118.23</v>
      </c>
      <c r="P25" s="7">
        <v>68.19</v>
      </c>
      <c r="Q25" s="7">
        <v>95.32</v>
      </c>
      <c r="R25" s="7">
        <v>139.30000000000001</v>
      </c>
      <c r="S25" s="7">
        <v>124</v>
      </c>
      <c r="T25" s="7"/>
      <c r="U25" s="7"/>
      <c r="V25" s="7"/>
    </row>
    <row r="26" spans="1:22" ht="17.25" x14ac:dyDescent="0.2">
      <c r="A26" s="8" t="s">
        <v>338</v>
      </c>
      <c r="B26" s="7" t="s">
        <v>0</v>
      </c>
      <c r="C26" s="7">
        <v>123.92</v>
      </c>
      <c r="D26" s="7">
        <v>135.35</v>
      </c>
      <c r="E26" s="7">
        <v>100.08</v>
      </c>
      <c r="F26" s="7">
        <v>101.92</v>
      </c>
      <c r="G26" s="7">
        <v>114.23</v>
      </c>
      <c r="H26" s="7">
        <v>185.39</v>
      </c>
      <c r="I26" s="7">
        <v>69.430000000000007</v>
      </c>
      <c r="J26" s="7">
        <v>27.28</v>
      </c>
      <c r="K26" s="7">
        <v>51.35</v>
      </c>
      <c r="L26" s="7">
        <v>39.979999999999997</v>
      </c>
      <c r="M26" s="7">
        <v>33.15</v>
      </c>
      <c r="N26" s="7">
        <v>108.44</v>
      </c>
      <c r="O26" s="7">
        <v>109.5</v>
      </c>
      <c r="P26" s="7">
        <v>68.3</v>
      </c>
      <c r="Q26" s="7">
        <v>93.24</v>
      </c>
      <c r="R26" s="7">
        <v>144.13</v>
      </c>
      <c r="S26" s="7">
        <v>126.69</v>
      </c>
      <c r="T26" s="7"/>
      <c r="U26" s="7"/>
      <c r="V26" s="7"/>
    </row>
    <row r="27" spans="1:22" ht="17.25" x14ac:dyDescent="0.2">
      <c r="A27" s="8" t="s">
        <v>339</v>
      </c>
      <c r="B27" s="7" t="s">
        <v>0</v>
      </c>
      <c r="C27" s="7">
        <v>129.51</v>
      </c>
      <c r="D27" s="7">
        <v>137.52000000000001</v>
      </c>
      <c r="E27" s="7">
        <v>96.27</v>
      </c>
      <c r="F27" s="7">
        <v>87.73</v>
      </c>
      <c r="G27" s="7">
        <v>110.42</v>
      </c>
      <c r="H27" s="7">
        <v>178.34</v>
      </c>
      <c r="I27" s="7">
        <v>62.94</v>
      </c>
      <c r="J27" s="7">
        <v>24.34</v>
      </c>
      <c r="K27" s="7">
        <v>52.71</v>
      </c>
      <c r="L27" s="7">
        <v>40.020000000000003</v>
      </c>
      <c r="M27" s="7">
        <v>36.36</v>
      </c>
      <c r="N27" s="7">
        <v>108.8</v>
      </c>
      <c r="O27" s="7">
        <v>103.73</v>
      </c>
      <c r="P27" s="7">
        <v>68.88</v>
      </c>
      <c r="Q27" s="7">
        <v>92.18</v>
      </c>
      <c r="R27" s="7">
        <v>142.49</v>
      </c>
      <c r="S27" s="7">
        <v>135.33000000000001</v>
      </c>
      <c r="T27" s="7"/>
      <c r="U27" s="7"/>
      <c r="V27" s="7"/>
    </row>
    <row r="28" spans="1:22" ht="17.25" x14ac:dyDescent="0.2">
      <c r="A28" s="8" t="s">
        <v>340</v>
      </c>
      <c r="B28" s="7" t="s">
        <v>0</v>
      </c>
      <c r="C28" s="7">
        <v>128.59</v>
      </c>
      <c r="D28" s="7">
        <v>138.49</v>
      </c>
      <c r="E28" s="7">
        <v>103.87</v>
      </c>
      <c r="F28" s="7">
        <v>99.08</v>
      </c>
      <c r="G28" s="7">
        <v>112.31</v>
      </c>
      <c r="H28" s="7">
        <v>182.92</v>
      </c>
      <c r="I28" s="7">
        <v>70.64</v>
      </c>
      <c r="J28" s="7">
        <v>26.64</v>
      </c>
      <c r="K28" s="7">
        <v>54.6</v>
      </c>
      <c r="L28" s="7">
        <v>45.17</v>
      </c>
      <c r="M28" s="7">
        <v>35.07</v>
      </c>
      <c r="N28" s="7">
        <v>100.84</v>
      </c>
      <c r="O28" s="7">
        <v>110.5</v>
      </c>
      <c r="P28" s="7">
        <v>71.459999999999994</v>
      </c>
      <c r="Q28" s="7">
        <v>95.19</v>
      </c>
      <c r="R28" s="7">
        <v>140.78</v>
      </c>
      <c r="S28" s="7">
        <v>134.6</v>
      </c>
      <c r="T28" s="7"/>
      <c r="U28" s="7"/>
      <c r="V28" s="7"/>
    </row>
    <row r="29" spans="1:22" ht="17.25" x14ac:dyDescent="0.2">
      <c r="A29" s="8" t="s">
        <v>341</v>
      </c>
      <c r="B29" s="7" t="s">
        <v>0</v>
      </c>
      <c r="C29" s="7">
        <v>120.39</v>
      </c>
      <c r="D29" s="7">
        <v>135.63999999999999</v>
      </c>
      <c r="E29" s="7">
        <v>92.59</v>
      </c>
      <c r="F29" s="7">
        <v>86.72</v>
      </c>
      <c r="G29" s="7">
        <v>116.51</v>
      </c>
      <c r="H29" s="7">
        <v>174.06</v>
      </c>
      <c r="I29" s="7">
        <v>65.72</v>
      </c>
      <c r="J29" s="7">
        <v>23.02</v>
      </c>
      <c r="K29" s="7">
        <v>49.2</v>
      </c>
      <c r="L29" s="7">
        <v>39.380000000000003</v>
      </c>
      <c r="M29" s="7">
        <v>34.67</v>
      </c>
      <c r="N29" s="7">
        <v>103.31</v>
      </c>
      <c r="O29" s="7">
        <v>112.53</v>
      </c>
      <c r="P29" s="7">
        <v>67.150000000000006</v>
      </c>
      <c r="Q29" s="7">
        <v>97.07</v>
      </c>
      <c r="R29" s="7">
        <v>140.26</v>
      </c>
      <c r="S29" s="7">
        <v>123.44</v>
      </c>
      <c r="T29" s="7"/>
      <c r="U29" s="7"/>
      <c r="V29" s="7"/>
    </row>
    <row r="30" spans="1:22" ht="17.25" x14ac:dyDescent="0.2">
      <c r="A30" s="8" t="s">
        <v>342</v>
      </c>
      <c r="B30" s="7" t="s">
        <v>0</v>
      </c>
      <c r="C30" s="7">
        <v>118.61</v>
      </c>
      <c r="D30" s="7">
        <v>128.62</v>
      </c>
      <c r="E30" s="7">
        <v>97.35</v>
      </c>
      <c r="F30" s="7">
        <v>86.96</v>
      </c>
      <c r="G30" s="7">
        <v>104.2</v>
      </c>
      <c r="H30" s="7">
        <v>172.14</v>
      </c>
      <c r="I30" s="7">
        <v>56.11</v>
      </c>
      <c r="J30" s="7">
        <v>24.39</v>
      </c>
      <c r="K30" s="7">
        <v>48.93</v>
      </c>
      <c r="L30" s="7">
        <v>38.1</v>
      </c>
      <c r="M30" s="7">
        <v>33.18</v>
      </c>
      <c r="N30" s="7">
        <v>101.07</v>
      </c>
      <c r="O30" s="7">
        <v>104.06</v>
      </c>
      <c r="P30" s="7">
        <v>60.07</v>
      </c>
      <c r="Q30" s="7">
        <v>92.02</v>
      </c>
      <c r="R30" s="7">
        <v>134.11000000000001</v>
      </c>
      <c r="S30" s="7">
        <v>124.1</v>
      </c>
      <c r="T30" s="7"/>
      <c r="U30" s="7"/>
      <c r="V30" s="7"/>
    </row>
    <row r="31" spans="1:22" ht="17.25" x14ac:dyDescent="0.2">
      <c r="A31" s="8" t="s">
        <v>343</v>
      </c>
      <c r="B31" s="7" t="s">
        <v>0</v>
      </c>
      <c r="C31" s="7">
        <v>124.76</v>
      </c>
      <c r="D31" s="7">
        <v>136.94999999999999</v>
      </c>
      <c r="E31" s="7">
        <v>97.14</v>
      </c>
      <c r="F31" s="7">
        <v>89.47</v>
      </c>
      <c r="G31" s="7">
        <v>111.2</v>
      </c>
      <c r="H31" s="7">
        <v>178.22</v>
      </c>
      <c r="I31" s="7">
        <v>67.11</v>
      </c>
      <c r="J31" s="7">
        <v>23.49</v>
      </c>
      <c r="K31" s="7">
        <v>51.4</v>
      </c>
      <c r="L31" s="7">
        <v>40.049999999999997</v>
      </c>
      <c r="M31" s="7">
        <v>33.700000000000003</v>
      </c>
      <c r="N31" s="7">
        <v>105.11</v>
      </c>
      <c r="O31" s="7">
        <v>116.72</v>
      </c>
      <c r="P31" s="7">
        <v>66.39</v>
      </c>
      <c r="Q31" s="7">
        <v>97.47</v>
      </c>
      <c r="R31" s="7">
        <v>147.47</v>
      </c>
      <c r="S31" s="7">
        <v>129.05000000000001</v>
      </c>
      <c r="T31" s="7"/>
      <c r="U31" s="7"/>
      <c r="V31" s="7"/>
    </row>
    <row r="32" spans="1:22" ht="17.25" x14ac:dyDescent="0.2">
      <c r="A32" s="8" t="s">
        <v>344</v>
      </c>
      <c r="B32" s="7" t="s">
        <v>0</v>
      </c>
      <c r="C32" s="7">
        <v>128.30000000000001</v>
      </c>
      <c r="D32" s="7">
        <v>140.44999999999999</v>
      </c>
      <c r="E32" s="7">
        <v>101.16</v>
      </c>
      <c r="F32" s="7">
        <v>93.53</v>
      </c>
      <c r="G32" s="7">
        <v>116.75</v>
      </c>
      <c r="H32" s="7">
        <v>176.45</v>
      </c>
      <c r="I32" s="7">
        <v>65.38</v>
      </c>
      <c r="J32" s="7">
        <v>24.39</v>
      </c>
      <c r="K32" s="7">
        <v>51.75</v>
      </c>
      <c r="L32" s="7">
        <v>40.86</v>
      </c>
      <c r="M32" s="7">
        <v>35.18</v>
      </c>
      <c r="N32" s="7">
        <v>102.31</v>
      </c>
      <c r="O32" s="7">
        <v>108.77</v>
      </c>
      <c r="P32" s="7">
        <v>70.27</v>
      </c>
      <c r="Q32" s="7">
        <v>86.35</v>
      </c>
      <c r="R32" s="7">
        <v>144.77000000000001</v>
      </c>
      <c r="S32" s="7">
        <v>130.93</v>
      </c>
      <c r="T32" s="7"/>
      <c r="U32" s="7"/>
      <c r="V32" s="7"/>
    </row>
    <row r="33" spans="1:22" ht="17.25" x14ac:dyDescent="0.2">
      <c r="A33" s="8" t="s">
        <v>345</v>
      </c>
      <c r="B33" s="7" t="s">
        <v>0</v>
      </c>
      <c r="C33" s="7">
        <v>122.06</v>
      </c>
      <c r="D33" s="7">
        <v>134.85</v>
      </c>
      <c r="E33" s="7">
        <v>92.36</v>
      </c>
      <c r="F33" s="7">
        <v>89.08</v>
      </c>
      <c r="G33" s="7">
        <v>109.14</v>
      </c>
      <c r="H33" s="7">
        <v>175.8</v>
      </c>
      <c r="I33" s="7">
        <v>64.2</v>
      </c>
      <c r="J33" s="7">
        <v>24.59</v>
      </c>
      <c r="K33" s="7">
        <v>49.22</v>
      </c>
      <c r="L33" s="7">
        <v>37.29</v>
      </c>
      <c r="M33" s="7">
        <v>32.5</v>
      </c>
      <c r="N33" s="7">
        <v>95.56</v>
      </c>
      <c r="O33" s="7">
        <v>124.11</v>
      </c>
      <c r="P33" s="7">
        <v>62.8</v>
      </c>
      <c r="Q33" s="7">
        <v>91.4</v>
      </c>
      <c r="R33" s="7">
        <v>137.80000000000001</v>
      </c>
      <c r="S33" s="7">
        <v>126.48</v>
      </c>
      <c r="T33" s="7"/>
      <c r="U33" s="7"/>
      <c r="V33" s="7"/>
    </row>
    <row r="34" spans="1:22" ht="17.25" x14ac:dyDescent="0.2">
      <c r="A34" s="8" t="s">
        <v>346</v>
      </c>
      <c r="B34" s="7" t="s">
        <v>0</v>
      </c>
      <c r="C34" s="7">
        <v>120.96</v>
      </c>
      <c r="D34" s="7">
        <v>144.01</v>
      </c>
      <c r="E34" s="7">
        <v>102.75</v>
      </c>
      <c r="F34" s="7">
        <v>92.77</v>
      </c>
      <c r="G34" s="7">
        <v>113.07</v>
      </c>
      <c r="H34" s="7">
        <v>187.85</v>
      </c>
      <c r="I34" s="7">
        <v>63.24</v>
      </c>
      <c r="J34" s="7">
        <v>25.36</v>
      </c>
      <c r="K34" s="7">
        <v>53.75</v>
      </c>
      <c r="L34" s="7">
        <v>41.1</v>
      </c>
      <c r="M34" s="7">
        <v>36.44</v>
      </c>
      <c r="N34" s="7">
        <v>105.43</v>
      </c>
      <c r="O34" s="7">
        <v>114.66</v>
      </c>
      <c r="P34" s="7">
        <v>69.75</v>
      </c>
      <c r="Q34" s="7">
        <v>88.35</v>
      </c>
      <c r="R34" s="7">
        <v>138.16999999999999</v>
      </c>
      <c r="S34" s="7">
        <v>125.25</v>
      </c>
      <c r="T34" s="7"/>
      <c r="U34" s="7"/>
      <c r="V34" s="7"/>
    </row>
    <row r="35" spans="1:22" ht="17.25" x14ac:dyDescent="0.2">
      <c r="A35" s="8" t="s">
        <v>347</v>
      </c>
      <c r="B35" s="7" t="s">
        <v>0</v>
      </c>
      <c r="C35" s="7">
        <v>118.79</v>
      </c>
      <c r="D35" s="7">
        <v>126.9</v>
      </c>
      <c r="E35" s="7">
        <v>92.21</v>
      </c>
      <c r="F35" s="7">
        <v>89.4</v>
      </c>
      <c r="G35" s="7">
        <v>117.89</v>
      </c>
      <c r="H35" s="7">
        <v>174.57</v>
      </c>
      <c r="I35" s="7">
        <v>57.21</v>
      </c>
      <c r="J35" s="7">
        <v>26.63</v>
      </c>
      <c r="K35" s="7">
        <v>48.91</v>
      </c>
      <c r="L35" s="7">
        <v>35.450000000000003</v>
      </c>
      <c r="M35" s="7">
        <v>33.5</v>
      </c>
      <c r="N35" s="7">
        <v>98.13</v>
      </c>
      <c r="O35" s="7">
        <v>103.04</v>
      </c>
      <c r="P35" s="7">
        <v>63.93</v>
      </c>
      <c r="Q35" s="7">
        <v>86.1</v>
      </c>
      <c r="R35" s="7">
        <v>140.03</v>
      </c>
      <c r="S35" s="7">
        <v>125.57</v>
      </c>
      <c r="T35" s="7"/>
      <c r="U35" s="7"/>
      <c r="V35" s="7"/>
    </row>
    <row r="36" spans="1:22" ht="17.25" x14ac:dyDescent="0.2">
      <c r="A36" s="8" t="s">
        <v>348</v>
      </c>
      <c r="B36" s="7" t="s">
        <v>0</v>
      </c>
      <c r="C36" s="7">
        <v>115.11</v>
      </c>
      <c r="D36" s="7">
        <v>138.16</v>
      </c>
      <c r="E36" s="7">
        <v>97.94</v>
      </c>
      <c r="F36" s="7">
        <v>91.13</v>
      </c>
      <c r="G36" s="7">
        <v>115.08</v>
      </c>
      <c r="H36" s="7">
        <v>176.51</v>
      </c>
      <c r="I36" s="7">
        <v>59.4</v>
      </c>
      <c r="J36" s="7">
        <v>23.51</v>
      </c>
      <c r="K36" s="7">
        <v>52.26</v>
      </c>
      <c r="L36" s="7">
        <v>38.51</v>
      </c>
      <c r="M36" s="7">
        <v>35.06</v>
      </c>
      <c r="N36" s="7">
        <v>95.69</v>
      </c>
      <c r="O36" s="7">
        <v>113.84</v>
      </c>
      <c r="P36" s="7">
        <v>66.97</v>
      </c>
      <c r="Q36" s="7">
        <v>94.73</v>
      </c>
      <c r="R36" s="7">
        <v>134.59</v>
      </c>
      <c r="S36" s="7">
        <v>119.43</v>
      </c>
      <c r="T36" s="7"/>
      <c r="U36" s="7"/>
      <c r="V36" s="7"/>
    </row>
    <row r="37" spans="1:22" ht="17.25" x14ac:dyDescent="0.2">
      <c r="A37" s="8" t="s">
        <v>349</v>
      </c>
      <c r="B37" s="7" t="s">
        <v>0</v>
      </c>
      <c r="C37" s="7">
        <v>126.98</v>
      </c>
      <c r="D37" s="7">
        <v>140.37</v>
      </c>
      <c r="E37" s="7">
        <v>98.89</v>
      </c>
      <c r="F37" s="7">
        <v>90.72</v>
      </c>
      <c r="G37" s="7">
        <v>113.08</v>
      </c>
      <c r="H37" s="7">
        <v>179.87</v>
      </c>
      <c r="I37" s="7">
        <v>63.85</v>
      </c>
      <c r="J37" s="7">
        <v>24.42</v>
      </c>
      <c r="K37" s="7">
        <v>49.29</v>
      </c>
      <c r="L37" s="7">
        <v>40.19</v>
      </c>
      <c r="M37" s="7">
        <v>32.14</v>
      </c>
      <c r="N37" s="7">
        <v>101.6</v>
      </c>
      <c r="O37" s="7">
        <v>119.62</v>
      </c>
      <c r="P37" s="7">
        <v>62</v>
      </c>
      <c r="Q37" s="7">
        <v>91.57</v>
      </c>
      <c r="R37" s="7">
        <v>141.96</v>
      </c>
      <c r="S37" s="7">
        <v>126.66</v>
      </c>
      <c r="T37" s="7"/>
      <c r="U37" s="7"/>
      <c r="V37" s="7"/>
    </row>
    <row r="38" spans="1:22" ht="17.25" x14ac:dyDescent="0.2">
      <c r="A38" s="8" t="s">
        <v>350</v>
      </c>
      <c r="B38" s="7" t="s">
        <v>0</v>
      </c>
      <c r="C38" s="7">
        <v>115.67</v>
      </c>
      <c r="D38" s="7">
        <v>133.72999999999999</v>
      </c>
      <c r="E38" s="7">
        <v>95.69</v>
      </c>
      <c r="F38" s="7">
        <v>91.86</v>
      </c>
      <c r="G38" s="7">
        <v>107.73</v>
      </c>
      <c r="H38" s="7">
        <v>174.38</v>
      </c>
      <c r="I38" s="7">
        <v>61.21</v>
      </c>
      <c r="J38" s="7">
        <v>22.44</v>
      </c>
      <c r="K38" s="7">
        <v>51.42</v>
      </c>
      <c r="L38" s="7">
        <v>35.840000000000003</v>
      </c>
      <c r="M38" s="7">
        <v>34.24</v>
      </c>
      <c r="N38" s="7">
        <v>103.8</v>
      </c>
      <c r="O38" s="7">
        <v>107.61</v>
      </c>
      <c r="P38" s="7">
        <v>66.08</v>
      </c>
      <c r="Q38" s="7">
        <v>93.36</v>
      </c>
      <c r="R38" s="7">
        <v>137.97999999999999</v>
      </c>
      <c r="S38" s="7">
        <v>117.5</v>
      </c>
      <c r="T38" s="7"/>
      <c r="U38" s="7"/>
      <c r="V38" s="7"/>
    </row>
    <row r="39" spans="1:22" ht="17.25" x14ac:dyDescent="0.2">
      <c r="A39" s="8" t="s">
        <v>351</v>
      </c>
      <c r="B39" s="7" t="s">
        <v>0</v>
      </c>
      <c r="C39" s="7">
        <v>121.61</v>
      </c>
      <c r="D39" s="7">
        <v>133.15</v>
      </c>
      <c r="E39" s="7">
        <v>94.36</v>
      </c>
      <c r="F39" s="7">
        <v>86.27</v>
      </c>
      <c r="G39" s="7">
        <v>107.87</v>
      </c>
      <c r="H39" s="7">
        <v>168.72</v>
      </c>
      <c r="I39" s="7">
        <v>66.7</v>
      </c>
      <c r="J39" s="7">
        <v>26.18</v>
      </c>
      <c r="K39" s="7">
        <v>50.88</v>
      </c>
      <c r="L39" s="7">
        <v>40.18</v>
      </c>
      <c r="M39" s="7">
        <v>34.299999999999997</v>
      </c>
      <c r="N39" s="7">
        <v>98.58</v>
      </c>
      <c r="O39" s="7">
        <v>108.47</v>
      </c>
      <c r="P39" s="7">
        <v>64.959999999999994</v>
      </c>
      <c r="Q39" s="7">
        <v>92.06</v>
      </c>
      <c r="R39" s="7">
        <v>150.27000000000001</v>
      </c>
      <c r="S39" s="7">
        <v>126.31</v>
      </c>
      <c r="T39" s="7"/>
      <c r="U39" s="7"/>
      <c r="V39" s="7"/>
    </row>
    <row r="40" spans="1:22" ht="17.25" x14ac:dyDescent="0.2">
      <c r="A40" s="8" t="s">
        <v>352</v>
      </c>
      <c r="B40" s="7" t="s">
        <v>0</v>
      </c>
      <c r="C40" s="7">
        <v>122.93</v>
      </c>
      <c r="D40" s="7">
        <v>133.09</v>
      </c>
      <c r="E40" s="7">
        <v>95.61</v>
      </c>
      <c r="F40" s="7">
        <v>85.01</v>
      </c>
      <c r="G40" s="7">
        <v>111.33</v>
      </c>
      <c r="H40" s="7">
        <v>180.71</v>
      </c>
      <c r="I40" s="7">
        <v>58.74</v>
      </c>
      <c r="J40" s="7">
        <v>27.59</v>
      </c>
      <c r="K40" s="7">
        <v>54.69</v>
      </c>
      <c r="L40" s="7">
        <v>41.74</v>
      </c>
      <c r="M40" s="7">
        <v>34.75</v>
      </c>
      <c r="N40" s="7">
        <v>100.36</v>
      </c>
      <c r="O40" s="7">
        <v>119.3</v>
      </c>
      <c r="P40" s="7">
        <v>64.7</v>
      </c>
      <c r="Q40" s="7">
        <v>93.13</v>
      </c>
      <c r="R40" s="7">
        <v>147.61000000000001</v>
      </c>
      <c r="S40" s="7">
        <v>124.38</v>
      </c>
      <c r="T40" s="7"/>
      <c r="U40" s="7"/>
      <c r="V40" s="7"/>
    </row>
    <row r="41" spans="1:22" ht="17.25" x14ac:dyDescent="0.2">
      <c r="A41" s="8" t="s">
        <v>353</v>
      </c>
      <c r="B41" s="7" t="s">
        <v>0</v>
      </c>
      <c r="C41" s="7">
        <v>123.6</v>
      </c>
      <c r="D41" s="7">
        <v>135.12</v>
      </c>
      <c r="E41" s="7">
        <v>95.85</v>
      </c>
      <c r="F41" s="7">
        <v>84.17</v>
      </c>
      <c r="G41" s="7">
        <v>105.72</v>
      </c>
      <c r="H41" s="7">
        <v>171.89</v>
      </c>
      <c r="I41" s="7">
        <v>68.28</v>
      </c>
      <c r="J41" s="7">
        <v>25.48</v>
      </c>
      <c r="K41" s="7">
        <v>53.83</v>
      </c>
      <c r="L41" s="7">
        <v>41.14</v>
      </c>
      <c r="M41" s="7">
        <v>35.950000000000003</v>
      </c>
      <c r="N41" s="7">
        <v>109.79</v>
      </c>
      <c r="O41" s="7">
        <v>104.94</v>
      </c>
      <c r="P41" s="7">
        <v>65.83</v>
      </c>
      <c r="Q41" s="7">
        <v>90.46</v>
      </c>
      <c r="R41" s="7">
        <v>138.26</v>
      </c>
      <c r="S41" s="7">
        <v>128.29</v>
      </c>
      <c r="T41" s="7"/>
      <c r="U41" s="7"/>
      <c r="V41" s="7"/>
    </row>
    <row r="42" spans="1:22" ht="17.25" x14ac:dyDescent="0.2">
      <c r="A42" s="8" t="s">
        <v>354</v>
      </c>
      <c r="B42" s="7" t="s">
        <v>0</v>
      </c>
      <c r="C42" s="7">
        <v>116.95</v>
      </c>
      <c r="D42" s="7">
        <v>126.54</v>
      </c>
      <c r="E42" s="7">
        <v>92.3</v>
      </c>
      <c r="F42" s="7">
        <v>90.08</v>
      </c>
      <c r="G42" s="7">
        <v>107.92</v>
      </c>
      <c r="H42" s="7">
        <v>171.93</v>
      </c>
      <c r="I42" s="7">
        <v>58.08</v>
      </c>
      <c r="J42" s="7">
        <v>22.19</v>
      </c>
      <c r="K42" s="7">
        <v>45.31</v>
      </c>
      <c r="L42" s="7">
        <v>40.520000000000003</v>
      </c>
      <c r="M42" s="7">
        <v>30.04</v>
      </c>
      <c r="N42" s="7">
        <v>85.7</v>
      </c>
      <c r="O42" s="7">
        <v>105.5</v>
      </c>
      <c r="P42" s="7">
        <v>58.85</v>
      </c>
      <c r="Q42" s="7">
        <v>85.95</v>
      </c>
      <c r="R42" s="7">
        <v>135.34</v>
      </c>
      <c r="S42" s="7">
        <v>119.28</v>
      </c>
      <c r="T42" s="7"/>
      <c r="U42" s="7"/>
      <c r="V42" s="7"/>
    </row>
    <row r="43" spans="1:22" ht="17.25" x14ac:dyDescent="0.2">
      <c r="A43" s="8" t="s">
        <v>355</v>
      </c>
      <c r="B43" s="7" t="s">
        <v>0</v>
      </c>
      <c r="C43" s="7">
        <v>119.64</v>
      </c>
      <c r="D43" s="7">
        <v>141.77000000000001</v>
      </c>
      <c r="E43" s="7">
        <v>100.77</v>
      </c>
      <c r="F43" s="7">
        <v>90.83</v>
      </c>
      <c r="G43" s="7">
        <v>114.45</v>
      </c>
      <c r="H43" s="7">
        <v>182.4</v>
      </c>
      <c r="I43" s="7">
        <v>59.09</v>
      </c>
      <c r="J43" s="7">
        <v>22.95</v>
      </c>
      <c r="K43" s="7">
        <v>46.89</v>
      </c>
      <c r="L43" s="7">
        <v>38.57</v>
      </c>
      <c r="M43" s="7">
        <v>32.83</v>
      </c>
      <c r="N43" s="7">
        <v>103.41</v>
      </c>
      <c r="O43" s="7">
        <v>114.18</v>
      </c>
      <c r="P43" s="7">
        <v>64.180000000000007</v>
      </c>
      <c r="Q43" s="7">
        <v>94.32</v>
      </c>
      <c r="R43" s="7">
        <v>136.38999999999999</v>
      </c>
      <c r="S43" s="7">
        <v>124.59</v>
      </c>
      <c r="T43" s="7"/>
      <c r="U43" s="7"/>
      <c r="V43" s="7"/>
    </row>
    <row r="44" spans="1:22" ht="17.25" x14ac:dyDescent="0.2">
      <c r="A44" s="8" t="s">
        <v>356</v>
      </c>
      <c r="B44" s="7" t="s">
        <v>0</v>
      </c>
      <c r="C44" s="7">
        <v>125.68</v>
      </c>
      <c r="D44" s="7">
        <v>143.72999999999999</v>
      </c>
      <c r="E44" s="7">
        <v>102.14</v>
      </c>
      <c r="F44" s="7">
        <v>96.56</v>
      </c>
      <c r="G44" s="7">
        <v>111.4</v>
      </c>
      <c r="H44" s="7">
        <v>173.02</v>
      </c>
      <c r="I44" s="7">
        <v>64.73</v>
      </c>
      <c r="J44" s="7">
        <v>24.49</v>
      </c>
      <c r="K44" s="7">
        <v>52.78</v>
      </c>
      <c r="L44" s="7">
        <v>40.72</v>
      </c>
      <c r="M44" s="7">
        <v>34.76</v>
      </c>
      <c r="N44" s="7">
        <v>106.18</v>
      </c>
      <c r="O44" s="7">
        <v>109.21</v>
      </c>
      <c r="P44" s="7">
        <v>71.75</v>
      </c>
      <c r="Q44" s="7">
        <v>97.29</v>
      </c>
      <c r="R44" s="7">
        <v>140.15</v>
      </c>
      <c r="S44" s="7">
        <v>128.68</v>
      </c>
      <c r="T44" s="7"/>
      <c r="U44" s="7"/>
      <c r="V44" s="7"/>
    </row>
    <row r="45" spans="1:22" ht="17.25" x14ac:dyDescent="0.2">
      <c r="A45" s="8" t="s">
        <v>357</v>
      </c>
      <c r="B45" s="7" t="s">
        <v>0</v>
      </c>
      <c r="C45" s="7">
        <v>126.15</v>
      </c>
      <c r="D45" s="7">
        <v>141.04</v>
      </c>
      <c r="E45" s="7">
        <v>98.04</v>
      </c>
      <c r="F45" s="7">
        <v>91.6</v>
      </c>
      <c r="G45" s="7">
        <v>105.57</v>
      </c>
      <c r="H45" s="7">
        <v>167.85</v>
      </c>
      <c r="I45" s="7">
        <v>66.7</v>
      </c>
      <c r="J45" s="7">
        <v>24.23</v>
      </c>
      <c r="K45" s="7">
        <v>51.1</v>
      </c>
      <c r="L45" s="7">
        <v>41.17</v>
      </c>
      <c r="M45" s="7">
        <v>35.729999999999997</v>
      </c>
      <c r="N45" s="7">
        <v>99.11</v>
      </c>
      <c r="O45" s="7">
        <v>107.54</v>
      </c>
      <c r="P45" s="7">
        <v>64.290000000000006</v>
      </c>
      <c r="Q45" s="7">
        <v>99.33</v>
      </c>
      <c r="R45" s="7">
        <v>145.97</v>
      </c>
      <c r="S45" s="7">
        <v>131.63999999999999</v>
      </c>
      <c r="T45" s="7"/>
      <c r="U45" s="7"/>
      <c r="V45" s="7"/>
    </row>
    <row r="46" spans="1:22" ht="17.25" x14ac:dyDescent="0.2">
      <c r="A46" s="8" t="s">
        <v>358</v>
      </c>
      <c r="B46" s="7" t="s">
        <v>0</v>
      </c>
      <c r="C46" s="7">
        <v>125.03</v>
      </c>
      <c r="D46" s="7">
        <v>139.59</v>
      </c>
      <c r="E46" s="7">
        <v>106.56</v>
      </c>
      <c r="F46" s="7">
        <v>97.39</v>
      </c>
      <c r="G46" s="7">
        <v>103.46</v>
      </c>
      <c r="H46" s="7">
        <v>175.87</v>
      </c>
      <c r="I46" s="7">
        <v>59.32</v>
      </c>
      <c r="J46" s="7">
        <v>21.45</v>
      </c>
      <c r="K46" s="7">
        <v>46.8</v>
      </c>
      <c r="L46" s="7">
        <v>39.25</v>
      </c>
      <c r="M46" s="7">
        <v>32.69</v>
      </c>
      <c r="N46" s="7">
        <v>99.18</v>
      </c>
      <c r="O46" s="7">
        <v>115.08</v>
      </c>
      <c r="P46" s="7">
        <v>59.86</v>
      </c>
      <c r="Q46" s="7">
        <v>91.69</v>
      </c>
      <c r="R46" s="7">
        <v>137.04</v>
      </c>
      <c r="S46" s="7">
        <v>126.35</v>
      </c>
      <c r="T46" s="7"/>
      <c r="U46" s="7"/>
      <c r="V46" s="7"/>
    </row>
    <row r="47" spans="1:22" ht="17.25" x14ac:dyDescent="0.2">
      <c r="A47" s="8" t="s">
        <v>359</v>
      </c>
      <c r="B47" s="7" t="s">
        <v>0</v>
      </c>
      <c r="C47" s="7">
        <v>134.30000000000001</v>
      </c>
      <c r="D47" s="7">
        <v>139.49</v>
      </c>
      <c r="E47" s="7">
        <v>98.48</v>
      </c>
      <c r="F47" s="7">
        <v>91.13</v>
      </c>
      <c r="G47" s="7">
        <v>111.88</v>
      </c>
      <c r="H47" s="7">
        <v>174.91</v>
      </c>
      <c r="I47" s="7">
        <v>72.73</v>
      </c>
      <c r="J47" s="7">
        <v>28.15</v>
      </c>
      <c r="K47" s="7">
        <v>54.48</v>
      </c>
      <c r="L47" s="7">
        <v>41.23</v>
      </c>
      <c r="M47" s="7">
        <v>36.78</v>
      </c>
      <c r="N47" s="7">
        <v>109.23</v>
      </c>
      <c r="O47" s="7">
        <v>102.92</v>
      </c>
      <c r="P47" s="7">
        <v>70.58</v>
      </c>
      <c r="Q47" s="7">
        <v>94.28</v>
      </c>
      <c r="R47" s="7">
        <v>145.19999999999999</v>
      </c>
      <c r="S47" s="7">
        <v>138.93</v>
      </c>
      <c r="T47" s="7"/>
      <c r="U47" s="7"/>
      <c r="V4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EAF5-E71C-49BF-94B0-B2DB015705CE}">
  <dimension ref="A1:U48"/>
  <sheetViews>
    <sheetView workbookViewId="0">
      <selection activeCell="W8" sqref="W8"/>
    </sheetView>
  </sheetViews>
  <sheetFormatPr defaultRowHeight="12.75" x14ac:dyDescent="0.2"/>
  <cols>
    <col min="1" max="1" width="9.5703125" bestFit="1" customWidth="1"/>
    <col min="2" max="2" width="5.42578125" style="10" customWidth="1"/>
    <col min="3" max="8" width="8.140625" bestFit="1" customWidth="1"/>
    <col min="9" max="11" width="6.85546875" bestFit="1" customWidth="1"/>
    <col min="12" max="12" width="7" bestFit="1" customWidth="1"/>
    <col min="13" max="14" width="8.140625" bestFit="1" customWidth="1"/>
    <col min="15" max="15" width="6.85546875" bestFit="1" customWidth="1"/>
    <col min="16" max="18" width="8.140625" bestFit="1" customWidth="1"/>
    <col min="19" max="21" width="2.5703125" bestFit="1" customWidth="1"/>
  </cols>
  <sheetData>
    <row r="1" spans="1:21" ht="17.25" x14ac:dyDescent="0.2">
      <c r="A1" s="11"/>
      <c r="B1" s="8" t="s">
        <v>15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  <c r="J1" s="12" t="s">
        <v>12</v>
      </c>
      <c r="K1" s="12" t="s">
        <v>19</v>
      </c>
      <c r="L1" s="12" t="s">
        <v>21</v>
      </c>
      <c r="M1" s="12" t="s">
        <v>13</v>
      </c>
      <c r="N1" s="12" t="s">
        <v>14</v>
      </c>
      <c r="O1" s="12" t="s">
        <v>22</v>
      </c>
      <c r="P1" s="12" t="s">
        <v>16</v>
      </c>
      <c r="Q1" s="12" t="s">
        <v>17</v>
      </c>
      <c r="R1" s="12" t="s">
        <v>18</v>
      </c>
      <c r="S1" s="12" t="s">
        <v>2</v>
      </c>
      <c r="T1" s="12" t="s">
        <v>3</v>
      </c>
      <c r="U1" s="12" t="s">
        <v>4</v>
      </c>
    </row>
    <row r="2" spans="1:21" ht="17.25" x14ac:dyDescent="0.2">
      <c r="A2" s="12" t="s">
        <v>360</v>
      </c>
      <c r="B2" s="12" t="s">
        <v>117</v>
      </c>
      <c r="C2" s="11">
        <v>122.68</v>
      </c>
      <c r="D2" s="11">
        <v>142.61000000000001</v>
      </c>
      <c r="E2" s="11">
        <v>104.09</v>
      </c>
      <c r="F2" s="11">
        <v>94.72</v>
      </c>
      <c r="G2" s="11">
        <v>112.56</v>
      </c>
      <c r="H2" s="11">
        <v>180.14</v>
      </c>
      <c r="I2" s="11">
        <v>64.03</v>
      </c>
      <c r="J2" s="11">
        <v>23.22</v>
      </c>
      <c r="K2" s="11">
        <v>55.2</v>
      </c>
      <c r="L2" s="11">
        <v>35.43</v>
      </c>
      <c r="M2" s="11">
        <v>104.35</v>
      </c>
      <c r="N2" s="11">
        <v>117.18</v>
      </c>
      <c r="O2" s="11">
        <v>71.72</v>
      </c>
      <c r="P2" s="11">
        <v>100.49</v>
      </c>
      <c r="Q2" s="11">
        <v>138.62</v>
      </c>
      <c r="R2" s="11">
        <v>131.07</v>
      </c>
      <c r="S2" s="11"/>
      <c r="T2" s="11"/>
      <c r="U2" s="11"/>
    </row>
    <row r="3" spans="1:21" ht="17.25" x14ac:dyDescent="0.2">
      <c r="A3" s="12" t="s">
        <v>361</v>
      </c>
      <c r="B3" s="12" t="s">
        <v>117</v>
      </c>
      <c r="C3" s="11">
        <v>121.3</v>
      </c>
      <c r="D3" s="11">
        <v>143.72999999999999</v>
      </c>
      <c r="E3" s="11">
        <v>104.95</v>
      </c>
      <c r="F3" s="11">
        <v>98.62</v>
      </c>
      <c r="G3" s="11">
        <v>120.82</v>
      </c>
      <c r="H3" s="11">
        <v>189.39</v>
      </c>
      <c r="I3" s="11">
        <v>68.12</v>
      </c>
      <c r="J3" s="11">
        <v>27.1</v>
      </c>
      <c r="K3" s="11">
        <v>54.62</v>
      </c>
      <c r="L3" s="11">
        <v>33.28</v>
      </c>
      <c r="M3" s="11">
        <v>107.98</v>
      </c>
      <c r="N3" s="11">
        <v>120.97</v>
      </c>
      <c r="O3" s="11">
        <v>70.44</v>
      </c>
      <c r="P3" s="11">
        <v>94.78</v>
      </c>
      <c r="Q3" s="11">
        <v>138.28</v>
      </c>
      <c r="R3" s="11">
        <v>128.24</v>
      </c>
      <c r="S3" s="11"/>
      <c r="T3" s="11"/>
      <c r="U3" s="11"/>
    </row>
    <row r="4" spans="1:21" ht="17.25" x14ac:dyDescent="0.2">
      <c r="A4" s="12" t="s">
        <v>362</v>
      </c>
      <c r="B4" s="12" t="s">
        <v>117</v>
      </c>
      <c r="C4" s="11">
        <v>131.56</v>
      </c>
      <c r="D4" s="11">
        <v>145.97999999999999</v>
      </c>
      <c r="E4" s="11">
        <v>108.95</v>
      </c>
      <c r="F4" s="11">
        <v>105.74</v>
      </c>
      <c r="G4" s="11">
        <v>113.69</v>
      </c>
      <c r="H4" s="11">
        <v>184.92</v>
      </c>
      <c r="I4" s="11">
        <v>69.12</v>
      </c>
      <c r="J4" s="11">
        <v>26.07</v>
      </c>
      <c r="K4" s="11">
        <v>46.22</v>
      </c>
      <c r="L4" s="11">
        <v>32.909999999999997</v>
      </c>
      <c r="M4" s="11">
        <v>101.62</v>
      </c>
      <c r="N4" s="11">
        <v>118.79</v>
      </c>
      <c r="O4" s="11">
        <v>60.69</v>
      </c>
      <c r="P4" s="11">
        <v>95.5</v>
      </c>
      <c r="Q4" s="11">
        <v>146.27000000000001</v>
      </c>
      <c r="R4" s="11">
        <v>138.54</v>
      </c>
      <c r="S4" s="11"/>
      <c r="T4" s="11"/>
      <c r="U4" s="11"/>
    </row>
    <row r="5" spans="1:21" ht="17.25" x14ac:dyDescent="0.2">
      <c r="A5" s="12" t="s">
        <v>363</v>
      </c>
      <c r="B5" s="12" t="s">
        <v>117</v>
      </c>
      <c r="C5" s="11">
        <v>121.19</v>
      </c>
      <c r="D5" s="11">
        <v>136.4</v>
      </c>
      <c r="E5" s="11">
        <v>102.58</v>
      </c>
      <c r="F5" s="11">
        <v>96.2</v>
      </c>
      <c r="G5" s="11">
        <v>112.92</v>
      </c>
      <c r="H5" s="11">
        <v>181.69</v>
      </c>
      <c r="I5" s="11">
        <v>67.78</v>
      </c>
      <c r="J5" s="11">
        <v>27.13</v>
      </c>
      <c r="K5" s="11">
        <v>55.7</v>
      </c>
      <c r="L5" s="11">
        <v>32.69</v>
      </c>
      <c r="M5" s="11">
        <v>100.02</v>
      </c>
      <c r="N5" s="11">
        <v>109.27</v>
      </c>
      <c r="O5" s="11">
        <v>73.95</v>
      </c>
      <c r="P5" s="11">
        <v>92.94</v>
      </c>
      <c r="Q5" s="11">
        <v>135.25</v>
      </c>
      <c r="R5" s="11">
        <v>125.49</v>
      </c>
      <c r="S5" s="11"/>
      <c r="T5" s="11"/>
      <c r="U5" s="11"/>
    </row>
    <row r="6" spans="1:21" ht="17.25" x14ac:dyDescent="0.2">
      <c r="A6" s="12" t="s">
        <v>364</v>
      </c>
      <c r="B6" s="12" t="s">
        <v>117</v>
      </c>
      <c r="C6" s="11">
        <v>119.97</v>
      </c>
      <c r="D6" s="11">
        <v>140.97999999999999</v>
      </c>
      <c r="E6" s="11">
        <v>110.27</v>
      </c>
      <c r="F6" s="11">
        <v>103.21</v>
      </c>
      <c r="G6" s="11">
        <v>119.32</v>
      </c>
      <c r="H6" s="11">
        <v>202.96</v>
      </c>
      <c r="I6" s="11">
        <v>59.26</v>
      </c>
      <c r="J6" s="11">
        <v>23.99</v>
      </c>
      <c r="K6" s="11">
        <v>53.28</v>
      </c>
      <c r="L6" s="11">
        <v>33.369999999999997</v>
      </c>
      <c r="M6" s="11">
        <v>112.97</v>
      </c>
      <c r="N6" s="11">
        <v>115.68</v>
      </c>
      <c r="O6" s="11">
        <v>67.930000000000007</v>
      </c>
      <c r="P6" s="11">
        <v>95.89</v>
      </c>
      <c r="Q6" s="11">
        <v>136.22</v>
      </c>
      <c r="R6" s="11">
        <v>127.75</v>
      </c>
      <c r="S6" s="11"/>
      <c r="T6" s="11"/>
      <c r="U6" s="11"/>
    </row>
    <row r="7" spans="1:21" ht="17.25" x14ac:dyDescent="0.2">
      <c r="A7" s="12" t="s">
        <v>365</v>
      </c>
      <c r="B7" s="12" t="s">
        <v>117</v>
      </c>
      <c r="C7" s="11">
        <v>132.13999999999999</v>
      </c>
      <c r="D7" s="11">
        <v>142.13999999999999</v>
      </c>
      <c r="E7" s="11">
        <v>100.9</v>
      </c>
      <c r="F7" s="11">
        <v>91.6</v>
      </c>
      <c r="G7" s="11">
        <v>113.26</v>
      </c>
      <c r="H7" s="11">
        <v>185.28</v>
      </c>
      <c r="I7" s="11">
        <v>66.959999999999994</v>
      </c>
      <c r="J7" s="11">
        <v>25.43</v>
      </c>
      <c r="K7" s="11">
        <v>55.4</v>
      </c>
      <c r="L7" s="11">
        <v>39.46</v>
      </c>
      <c r="M7" s="11">
        <v>109.65</v>
      </c>
      <c r="N7" s="11">
        <v>118.96</v>
      </c>
      <c r="O7" s="11">
        <v>71.930000000000007</v>
      </c>
      <c r="P7" s="11">
        <v>96.75</v>
      </c>
      <c r="Q7" s="11">
        <v>148.96</v>
      </c>
      <c r="R7" s="11">
        <v>138.63999999999999</v>
      </c>
      <c r="S7" s="11"/>
      <c r="T7" s="11"/>
      <c r="U7" s="11"/>
    </row>
    <row r="8" spans="1:21" ht="17.25" x14ac:dyDescent="0.2">
      <c r="A8" s="12" t="s">
        <v>366</v>
      </c>
      <c r="B8" s="12" t="s">
        <v>117</v>
      </c>
      <c r="C8" s="11">
        <v>131.6</v>
      </c>
      <c r="D8" s="11">
        <v>137.51</v>
      </c>
      <c r="E8" s="11">
        <v>111.34</v>
      </c>
      <c r="F8" s="11">
        <v>105.53</v>
      </c>
      <c r="G8" s="11">
        <v>114.36</v>
      </c>
      <c r="H8" s="11">
        <v>188.88</v>
      </c>
      <c r="I8" s="11">
        <v>68.430000000000007</v>
      </c>
      <c r="J8" s="11">
        <v>25.06</v>
      </c>
      <c r="K8" s="11">
        <v>59.77</v>
      </c>
      <c r="L8" s="11">
        <v>36.82</v>
      </c>
      <c r="M8" s="11">
        <v>95.68</v>
      </c>
      <c r="N8" s="11">
        <v>106.35</v>
      </c>
      <c r="O8" s="11">
        <v>75.48</v>
      </c>
      <c r="P8" s="11">
        <v>103.97</v>
      </c>
      <c r="Q8" s="11">
        <v>141.54</v>
      </c>
      <c r="R8" s="11">
        <v>143.25</v>
      </c>
      <c r="S8" s="11"/>
      <c r="T8" s="11"/>
      <c r="U8" s="11"/>
    </row>
    <row r="9" spans="1:21" ht="17.25" x14ac:dyDescent="0.2">
      <c r="A9" s="12" t="s">
        <v>367</v>
      </c>
      <c r="B9" s="12" t="s">
        <v>117</v>
      </c>
      <c r="C9" s="11">
        <v>129.94999999999999</v>
      </c>
      <c r="D9" s="11">
        <v>147.16</v>
      </c>
      <c r="E9" s="11">
        <v>106.04</v>
      </c>
      <c r="F9" s="11">
        <v>99.68</v>
      </c>
      <c r="G9" s="11">
        <v>114.67</v>
      </c>
      <c r="H9" s="11">
        <v>194</v>
      </c>
      <c r="I9" s="11">
        <v>71.44</v>
      </c>
      <c r="J9" s="11">
        <v>28.87</v>
      </c>
      <c r="K9" s="11">
        <v>54.13</v>
      </c>
      <c r="L9" s="11">
        <v>32.950000000000003</v>
      </c>
      <c r="M9" s="11">
        <v>115.22</v>
      </c>
      <c r="N9" s="11">
        <v>127.44</v>
      </c>
      <c r="O9" s="11">
        <v>68.87</v>
      </c>
      <c r="P9" s="11">
        <v>88</v>
      </c>
      <c r="Q9" s="11">
        <v>145.84</v>
      </c>
      <c r="R9" s="11">
        <v>135.57</v>
      </c>
      <c r="S9" s="11"/>
      <c r="T9" s="11"/>
      <c r="U9" s="11"/>
    </row>
    <row r="10" spans="1:21" ht="17.25" x14ac:dyDescent="0.2">
      <c r="A10" s="12" t="s">
        <v>368</v>
      </c>
      <c r="B10" s="12" t="s">
        <v>117</v>
      </c>
      <c r="C10" s="11">
        <v>133.66</v>
      </c>
      <c r="D10" s="11">
        <v>142.84</v>
      </c>
      <c r="E10" s="11">
        <v>101.68</v>
      </c>
      <c r="F10" s="11">
        <v>102.05</v>
      </c>
      <c r="G10" s="11">
        <v>114.2</v>
      </c>
      <c r="H10" s="11">
        <v>186.9</v>
      </c>
      <c r="I10" s="11">
        <v>68.73</v>
      </c>
      <c r="J10" s="11">
        <v>26.98</v>
      </c>
      <c r="K10" s="11">
        <v>54.09</v>
      </c>
      <c r="L10" s="11">
        <v>32.619999999999997</v>
      </c>
      <c r="M10" s="11">
        <v>112.51</v>
      </c>
      <c r="N10" s="11">
        <v>104.26</v>
      </c>
      <c r="O10" s="11">
        <v>71.209999999999994</v>
      </c>
      <c r="P10" s="11">
        <v>91.63</v>
      </c>
      <c r="Q10" s="11">
        <v>146.38</v>
      </c>
      <c r="R10" s="11">
        <v>137.88999999999999</v>
      </c>
      <c r="S10" s="11"/>
      <c r="T10" s="11"/>
      <c r="U10" s="11"/>
    </row>
    <row r="11" spans="1:21" ht="17.25" x14ac:dyDescent="0.2">
      <c r="A11" s="12" t="s">
        <v>369</v>
      </c>
      <c r="B11" s="12" t="s">
        <v>117</v>
      </c>
      <c r="C11" s="11">
        <v>132.86000000000001</v>
      </c>
      <c r="D11" s="11">
        <v>145.94999999999999</v>
      </c>
      <c r="E11" s="11">
        <v>105.45</v>
      </c>
      <c r="F11" s="11">
        <v>98.16</v>
      </c>
      <c r="G11" s="11">
        <v>113.69</v>
      </c>
      <c r="H11" s="11">
        <v>185.34</v>
      </c>
      <c r="I11" s="11">
        <v>65.540000000000006</v>
      </c>
      <c r="J11" s="11">
        <v>25.85</v>
      </c>
      <c r="K11" s="11">
        <v>55.61</v>
      </c>
      <c r="L11" s="11">
        <v>32.29</v>
      </c>
      <c r="M11" s="11">
        <v>99.78</v>
      </c>
      <c r="N11" s="11">
        <v>115.83</v>
      </c>
      <c r="O11" s="11">
        <v>73.08</v>
      </c>
      <c r="P11" s="11">
        <v>91.91</v>
      </c>
      <c r="Q11" s="11">
        <v>141.69999999999999</v>
      </c>
      <c r="R11" s="11">
        <v>143.09</v>
      </c>
      <c r="S11" s="11"/>
      <c r="T11" s="11"/>
      <c r="U11" s="11"/>
    </row>
    <row r="12" spans="1:21" ht="17.25" x14ac:dyDescent="0.2">
      <c r="A12" s="12" t="s">
        <v>370</v>
      </c>
      <c r="B12" s="12" t="s">
        <v>117</v>
      </c>
      <c r="C12" s="11">
        <v>136.5</v>
      </c>
      <c r="D12" s="11">
        <v>152.72999999999999</v>
      </c>
      <c r="E12" s="11">
        <v>110.52</v>
      </c>
      <c r="F12" s="11">
        <v>106.24</v>
      </c>
      <c r="G12" s="11">
        <v>124.2</v>
      </c>
      <c r="H12" s="11">
        <v>192.69</v>
      </c>
      <c r="I12" s="11">
        <v>72.95</v>
      </c>
      <c r="J12" s="11">
        <v>25.62</v>
      </c>
      <c r="K12" s="11">
        <v>47.45</v>
      </c>
      <c r="L12" s="11">
        <v>35.6</v>
      </c>
      <c r="M12" s="11">
        <v>100.33</v>
      </c>
      <c r="N12" s="11">
        <v>133.35</v>
      </c>
      <c r="O12" s="11">
        <v>64.400000000000006</v>
      </c>
      <c r="P12" s="11">
        <v>103.5</v>
      </c>
      <c r="Q12" s="11">
        <v>153.38</v>
      </c>
      <c r="R12" s="11">
        <v>139.66999999999999</v>
      </c>
      <c r="S12" s="11"/>
      <c r="T12" s="11"/>
      <c r="U12" s="11"/>
    </row>
    <row r="13" spans="1:21" ht="17.25" x14ac:dyDescent="0.2">
      <c r="A13" s="12" t="s">
        <v>371</v>
      </c>
      <c r="B13" s="12" t="s">
        <v>117</v>
      </c>
      <c r="C13" s="11">
        <v>123.54</v>
      </c>
      <c r="D13" s="11">
        <v>140.06</v>
      </c>
      <c r="E13" s="11">
        <v>105.36</v>
      </c>
      <c r="F13" s="11">
        <v>97.51</v>
      </c>
      <c r="G13" s="11">
        <v>115.62</v>
      </c>
      <c r="H13" s="11">
        <v>186.9</v>
      </c>
      <c r="I13" s="11">
        <v>65.88</v>
      </c>
      <c r="J13" s="11">
        <v>23.4</v>
      </c>
      <c r="K13" s="11">
        <v>55.35</v>
      </c>
      <c r="L13" s="11">
        <v>33.299999999999997</v>
      </c>
      <c r="M13" s="11">
        <v>102.85</v>
      </c>
      <c r="N13" s="11">
        <v>111.74</v>
      </c>
      <c r="O13" s="11">
        <v>74.02</v>
      </c>
      <c r="P13" s="11">
        <v>95.22</v>
      </c>
      <c r="Q13" s="11">
        <v>134.03</v>
      </c>
      <c r="R13" s="11">
        <v>129.25</v>
      </c>
      <c r="S13" s="11"/>
      <c r="T13" s="11"/>
      <c r="U13" s="11"/>
    </row>
    <row r="14" spans="1:21" ht="17.25" x14ac:dyDescent="0.2">
      <c r="A14" s="12" t="s">
        <v>372</v>
      </c>
      <c r="B14" s="12" t="s">
        <v>117</v>
      </c>
      <c r="C14" s="11">
        <v>133.34</v>
      </c>
      <c r="D14" s="11">
        <v>141.21</v>
      </c>
      <c r="E14" s="11">
        <v>106.9</v>
      </c>
      <c r="F14" s="11">
        <v>100.54</v>
      </c>
      <c r="G14" s="11">
        <v>113.93</v>
      </c>
      <c r="H14" s="11">
        <v>194.9</v>
      </c>
      <c r="I14" s="11">
        <v>67.53</v>
      </c>
      <c r="J14" s="11">
        <v>25.73</v>
      </c>
      <c r="K14" s="11">
        <v>51.5</v>
      </c>
      <c r="L14" s="11">
        <v>32.47</v>
      </c>
      <c r="M14" s="11">
        <v>105.83</v>
      </c>
      <c r="N14" s="11">
        <v>113.57</v>
      </c>
      <c r="O14" s="11">
        <v>70.7</v>
      </c>
      <c r="P14" s="11">
        <v>94.4</v>
      </c>
      <c r="Q14" s="11">
        <v>141.65</v>
      </c>
      <c r="R14" s="11">
        <v>132.44999999999999</v>
      </c>
      <c r="S14" s="11"/>
      <c r="T14" s="11"/>
      <c r="U14" s="11"/>
    </row>
    <row r="15" spans="1:21" ht="17.25" x14ac:dyDescent="0.2">
      <c r="A15" s="12" t="s">
        <v>373</v>
      </c>
      <c r="B15" s="12" t="s">
        <v>117</v>
      </c>
      <c r="C15" s="11">
        <v>129.65</v>
      </c>
      <c r="D15" s="11">
        <v>148.97</v>
      </c>
      <c r="E15" s="11">
        <v>104.96</v>
      </c>
      <c r="F15" s="11">
        <v>92.77</v>
      </c>
      <c r="G15" s="11">
        <v>119.42</v>
      </c>
      <c r="H15" s="11">
        <v>195.31</v>
      </c>
      <c r="I15" s="11">
        <v>65.97</v>
      </c>
      <c r="J15" s="11">
        <v>25.56</v>
      </c>
      <c r="K15" s="11">
        <v>52.15</v>
      </c>
      <c r="L15" s="11">
        <v>32.82</v>
      </c>
      <c r="M15" s="11">
        <v>100.3</v>
      </c>
      <c r="N15" s="11">
        <v>131.91</v>
      </c>
      <c r="O15" s="11">
        <v>66.67</v>
      </c>
      <c r="P15" s="11">
        <v>94.01</v>
      </c>
      <c r="Q15" s="11">
        <v>138.99</v>
      </c>
      <c r="R15" s="11">
        <v>132.57</v>
      </c>
      <c r="S15" s="11"/>
      <c r="T15" s="11"/>
      <c r="U15" s="11"/>
    </row>
    <row r="16" spans="1:21" ht="17.25" x14ac:dyDescent="0.2">
      <c r="A16" s="12" t="s">
        <v>374</v>
      </c>
      <c r="B16" s="12" t="s">
        <v>117</v>
      </c>
      <c r="C16" s="11">
        <v>136.33000000000001</v>
      </c>
      <c r="D16" s="11">
        <v>148.85</v>
      </c>
      <c r="E16" s="11">
        <v>103.54</v>
      </c>
      <c r="F16" s="11">
        <v>94.29</v>
      </c>
      <c r="G16" s="11">
        <v>118.02</v>
      </c>
      <c r="H16" s="11">
        <v>186.71</v>
      </c>
      <c r="I16" s="11">
        <v>72.72</v>
      </c>
      <c r="J16" s="11">
        <v>25.57</v>
      </c>
      <c r="K16" s="11">
        <v>53.8</v>
      </c>
      <c r="L16" s="11">
        <v>34.69</v>
      </c>
      <c r="M16" s="11">
        <v>108.43</v>
      </c>
      <c r="N16" s="11">
        <v>113.96</v>
      </c>
      <c r="O16" s="11">
        <v>68.510000000000005</v>
      </c>
      <c r="P16" s="11">
        <v>96.01</v>
      </c>
      <c r="Q16" s="11">
        <v>149.32</v>
      </c>
      <c r="R16" s="11">
        <v>141.69</v>
      </c>
      <c r="S16" s="11"/>
      <c r="T16" s="11"/>
      <c r="U16" s="11"/>
    </row>
    <row r="17" spans="1:21" ht="17.25" x14ac:dyDescent="0.2">
      <c r="A17" s="12" t="s">
        <v>375</v>
      </c>
      <c r="B17" s="12" t="s">
        <v>117</v>
      </c>
      <c r="C17" s="11">
        <v>131.02000000000001</v>
      </c>
      <c r="D17" s="11">
        <v>144.61000000000001</v>
      </c>
      <c r="E17" s="11">
        <v>100.81</v>
      </c>
      <c r="F17" s="11">
        <v>95.52</v>
      </c>
      <c r="G17" s="11">
        <v>118.12</v>
      </c>
      <c r="H17" s="11">
        <v>176.44</v>
      </c>
      <c r="I17" s="11">
        <v>65.92</v>
      </c>
      <c r="J17" s="11">
        <v>25.91</v>
      </c>
      <c r="K17" s="11">
        <v>53.52</v>
      </c>
      <c r="L17" s="11">
        <v>31.48</v>
      </c>
      <c r="M17" s="11">
        <v>102.66</v>
      </c>
      <c r="N17" s="11">
        <v>114.95</v>
      </c>
      <c r="O17" s="11">
        <v>66.61</v>
      </c>
      <c r="P17" s="11">
        <v>97.07</v>
      </c>
      <c r="Q17" s="11">
        <v>149.35</v>
      </c>
      <c r="R17" s="11">
        <v>133.63999999999999</v>
      </c>
      <c r="S17" s="11"/>
      <c r="T17" s="11"/>
      <c r="U17" s="11"/>
    </row>
    <row r="18" spans="1:21" ht="17.25" x14ac:dyDescent="0.2">
      <c r="A18" s="12" t="s">
        <v>376</v>
      </c>
      <c r="B18" s="12" t="s">
        <v>117</v>
      </c>
      <c r="C18" s="11">
        <v>117.06</v>
      </c>
      <c r="D18" s="11">
        <v>144.76</v>
      </c>
      <c r="E18" s="11">
        <v>101.94</v>
      </c>
      <c r="F18" s="11">
        <v>102.95</v>
      </c>
      <c r="G18" s="11">
        <v>122.5</v>
      </c>
      <c r="H18" s="11">
        <v>186.72</v>
      </c>
      <c r="I18" s="11">
        <v>69.56</v>
      </c>
      <c r="J18" s="11">
        <v>27.82</v>
      </c>
      <c r="K18" s="11">
        <v>55.11</v>
      </c>
      <c r="L18" s="11">
        <v>32.57</v>
      </c>
      <c r="M18" s="11">
        <v>103.94</v>
      </c>
      <c r="N18" s="11">
        <v>119.01</v>
      </c>
      <c r="O18" s="11">
        <v>71.27</v>
      </c>
      <c r="P18" s="11">
        <v>92.92</v>
      </c>
      <c r="Q18" s="11">
        <v>138.32</v>
      </c>
      <c r="R18" s="11">
        <v>130.1</v>
      </c>
      <c r="S18" s="11"/>
      <c r="T18" s="11"/>
      <c r="U18" s="11"/>
    </row>
    <row r="19" spans="1:21" ht="17.25" x14ac:dyDescent="0.2">
      <c r="A19" s="12" t="s">
        <v>377</v>
      </c>
      <c r="B19" s="12" t="s">
        <v>117</v>
      </c>
      <c r="C19" s="11">
        <v>132.47</v>
      </c>
      <c r="D19" s="11">
        <v>145.07</v>
      </c>
      <c r="E19" s="11">
        <v>102.34</v>
      </c>
      <c r="F19" s="11">
        <v>95.76</v>
      </c>
      <c r="G19" s="11">
        <v>114.85</v>
      </c>
      <c r="H19" s="11">
        <v>185.01</v>
      </c>
      <c r="I19" s="11">
        <v>69.78</v>
      </c>
      <c r="J19" s="11">
        <v>27.26</v>
      </c>
      <c r="K19" s="11">
        <v>51.45</v>
      </c>
      <c r="L19" s="11">
        <v>32.39</v>
      </c>
      <c r="M19" s="11">
        <v>112.07</v>
      </c>
      <c r="N19" s="11">
        <v>121.51</v>
      </c>
      <c r="O19" s="11">
        <v>69.16</v>
      </c>
      <c r="P19" s="11">
        <v>94.78</v>
      </c>
      <c r="Q19" s="11">
        <v>149.13</v>
      </c>
      <c r="R19" s="11">
        <v>137.04</v>
      </c>
      <c r="S19" s="11"/>
      <c r="T19" s="11"/>
      <c r="U19" s="11"/>
    </row>
    <row r="20" spans="1:21" ht="17.25" x14ac:dyDescent="0.2">
      <c r="A20" s="12" t="s">
        <v>378</v>
      </c>
      <c r="B20" s="12" t="s">
        <v>117</v>
      </c>
      <c r="C20" s="11">
        <v>124.13</v>
      </c>
      <c r="D20" s="11">
        <v>136.94999999999999</v>
      </c>
      <c r="E20" s="11">
        <v>101.17</v>
      </c>
      <c r="F20" s="11">
        <v>91.68</v>
      </c>
      <c r="G20" s="11">
        <v>116.14</v>
      </c>
      <c r="H20" s="11">
        <v>186.91</v>
      </c>
      <c r="I20" s="11">
        <v>63.94</v>
      </c>
      <c r="J20" s="11">
        <v>22.98</v>
      </c>
      <c r="K20" s="11">
        <v>51.76</v>
      </c>
      <c r="L20" s="11">
        <v>33.409999999999997</v>
      </c>
      <c r="M20" s="11">
        <v>105.8</v>
      </c>
      <c r="N20" s="11">
        <v>115.19</v>
      </c>
      <c r="O20" s="11">
        <v>62.83</v>
      </c>
      <c r="P20" s="11">
        <v>92.7</v>
      </c>
      <c r="Q20" s="11">
        <v>142.54</v>
      </c>
      <c r="R20" s="11">
        <v>129.13</v>
      </c>
      <c r="S20" s="11"/>
      <c r="T20" s="11"/>
      <c r="U20" s="11"/>
    </row>
    <row r="21" spans="1:21" ht="17.25" x14ac:dyDescent="0.2">
      <c r="A21" s="12" t="s">
        <v>379</v>
      </c>
      <c r="B21" s="12" t="s">
        <v>117</v>
      </c>
      <c r="C21" s="11">
        <v>127.44</v>
      </c>
      <c r="D21" s="11">
        <v>153.26</v>
      </c>
      <c r="E21" s="11">
        <v>108.24</v>
      </c>
      <c r="F21" s="11">
        <v>96.09</v>
      </c>
      <c r="G21" s="11">
        <v>119.67</v>
      </c>
      <c r="H21" s="11">
        <v>189.6</v>
      </c>
      <c r="I21" s="11">
        <v>72.489999999999995</v>
      </c>
      <c r="J21" s="11">
        <v>27.58</v>
      </c>
      <c r="K21" s="11">
        <v>53.26</v>
      </c>
      <c r="L21" s="11">
        <v>33.67</v>
      </c>
      <c r="M21" s="11">
        <v>107.34</v>
      </c>
      <c r="N21" s="11">
        <v>122.55</v>
      </c>
      <c r="O21" s="11">
        <v>67.42</v>
      </c>
      <c r="P21" s="11">
        <v>99.97</v>
      </c>
      <c r="Q21" s="11">
        <v>151.86000000000001</v>
      </c>
      <c r="R21" s="11">
        <v>136.1</v>
      </c>
      <c r="S21" s="11"/>
      <c r="T21" s="11"/>
      <c r="U21" s="11"/>
    </row>
    <row r="22" spans="1:21" ht="17.25" x14ac:dyDescent="0.2">
      <c r="A22" s="12" t="s">
        <v>380</v>
      </c>
      <c r="B22" s="12" t="s">
        <v>117</v>
      </c>
      <c r="C22" s="11">
        <v>130.9</v>
      </c>
      <c r="D22" s="11">
        <v>140.72999999999999</v>
      </c>
      <c r="E22" s="11">
        <v>95.9</v>
      </c>
      <c r="F22" s="11">
        <v>96.22</v>
      </c>
      <c r="G22" s="11">
        <v>112.16</v>
      </c>
      <c r="H22" s="11">
        <v>174.56</v>
      </c>
      <c r="I22" s="11">
        <v>63.63</v>
      </c>
      <c r="J22" s="11">
        <v>25.06</v>
      </c>
      <c r="K22" s="11">
        <v>51.45</v>
      </c>
      <c r="L22" s="11">
        <v>33.200000000000003</v>
      </c>
      <c r="M22" s="11">
        <v>100.52</v>
      </c>
      <c r="N22" s="11">
        <v>114.18</v>
      </c>
      <c r="O22" s="11">
        <v>68.05</v>
      </c>
      <c r="P22" s="11">
        <v>97.29</v>
      </c>
      <c r="Q22" s="11">
        <v>144.81</v>
      </c>
      <c r="R22" s="11">
        <v>136.41999999999999</v>
      </c>
      <c r="S22" s="11"/>
      <c r="T22" s="11"/>
      <c r="U22" s="11"/>
    </row>
    <row r="23" spans="1:21" ht="17.25" x14ac:dyDescent="0.2">
      <c r="A23" s="12" t="s">
        <v>381</v>
      </c>
      <c r="B23" s="12" t="s">
        <v>117</v>
      </c>
      <c r="C23" s="11">
        <v>124.17</v>
      </c>
      <c r="D23" s="11">
        <v>147.54</v>
      </c>
      <c r="E23" s="11">
        <v>106.01</v>
      </c>
      <c r="F23" s="11">
        <v>97.28</v>
      </c>
      <c r="G23" s="11">
        <v>118.23</v>
      </c>
      <c r="H23" s="11">
        <v>188.47</v>
      </c>
      <c r="I23" s="11">
        <v>63.4</v>
      </c>
      <c r="J23" s="11">
        <v>24.03</v>
      </c>
      <c r="K23" s="11">
        <v>51.76</v>
      </c>
      <c r="L23" s="11">
        <v>35.130000000000003</v>
      </c>
      <c r="M23" s="11">
        <v>109.57</v>
      </c>
      <c r="N23" s="11">
        <v>115.09</v>
      </c>
      <c r="O23" s="11">
        <v>66.45</v>
      </c>
      <c r="P23" s="11">
        <v>96.55</v>
      </c>
      <c r="Q23" s="11">
        <v>138.35</v>
      </c>
      <c r="R23" s="11">
        <v>133.18</v>
      </c>
      <c r="S23" s="11"/>
      <c r="T23" s="11"/>
      <c r="U23" s="11"/>
    </row>
    <row r="24" spans="1:21" ht="17.25" x14ac:dyDescent="0.2">
      <c r="A24" s="12" t="s">
        <v>382</v>
      </c>
      <c r="B24" s="12" t="s">
        <v>117</v>
      </c>
      <c r="C24" s="11">
        <v>127.87</v>
      </c>
      <c r="D24" s="11">
        <v>147.86000000000001</v>
      </c>
      <c r="E24" s="11">
        <v>107.27</v>
      </c>
      <c r="F24" s="11">
        <v>97.89</v>
      </c>
      <c r="G24" s="11">
        <v>119.53</v>
      </c>
      <c r="H24" s="11">
        <v>187.55</v>
      </c>
      <c r="I24" s="11">
        <v>60.66</v>
      </c>
      <c r="J24" s="11">
        <v>27.7</v>
      </c>
      <c r="K24" s="11">
        <v>49.97</v>
      </c>
      <c r="L24" s="11">
        <v>33.94</v>
      </c>
      <c r="M24" s="11">
        <v>104.6</v>
      </c>
      <c r="N24" s="11">
        <v>117.76</v>
      </c>
      <c r="O24" s="11">
        <v>63.59</v>
      </c>
      <c r="P24" s="11">
        <v>100.19</v>
      </c>
      <c r="Q24" s="11">
        <v>145.82</v>
      </c>
      <c r="R24" s="11">
        <v>138.06</v>
      </c>
      <c r="S24" s="11"/>
      <c r="T24" s="11"/>
      <c r="U24" s="11"/>
    </row>
    <row r="25" spans="1:21" ht="17.25" x14ac:dyDescent="0.2">
      <c r="A25" s="12" t="s">
        <v>383</v>
      </c>
      <c r="B25" s="12" t="s">
        <v>117</v>
      </c>
      <c r="C25" s="11">
        <v>121.92</v>
      </c>
      <c r="D25" s="11">
        <v>146.49</v>
      </c>
      <c r="E25" s="11">
        <v>108.85</v>
      </c>
      <c r="F25" s="11">
        <v>95.76</v>
      </c>
      <c r="G25" s="11">
        <v>116.98</v>
      </c>
      <c r="H25" s="11">
        <v>190.84</v>
      </c>
      <c r="I25" s="11">
        <v>63.71</v>
      </c>
      <c r="J25" s="11">
        <v>23.95</v>
      </c>
      <c r="K25" s="11">
        <v>52.53</v>
      </c>
      <c r="L25" s="11">
        <v>33.5</v>
      </c>
      <c r="M25" s="11">
        <v>113.77</v>
      </c>
      <c r="N25" s="11">
        <v>114.96</v>
      </c>
      <c r="O25" s="11">
        <v>68.41</v>
      </c>
      <c r="P25" s="11">
        <v>100.26</v>
      </c>
      <c r="Q25" s="11">
        <v>133.13999999999999</v>
      </c>
      <c r="R25" s="11">
        <v>132.02000000000001</v>
      </c>
      <c r="S25" s="11"/>
      <c r="T25" s="11"/>
      <c r="U25" s="11"/>
    </row>
    <row r="26" spans="1:21" ht="17.25" x14ac:dyDescent="0.2">
      <c r="A26" s="12" t="s">
        <v>384</v>
      </c>
      <c r="B26" s="12" t="s">
        <v>117</v>
      </c>
      <c r="C26" s="11">
        <v>134.47999999999999</v>
      </c>
      <c r="D26" s="11">
        <v>144.25</v>
      </c>
      <c r="E26" s="11">
        <v>100.66</v>
      </c>
      <c r="F26" s="11">
        <v>93.19</v>
      </c>
      <c r="G26" s="11">
        <v>116.28</v>
      </c>
      <c r="H26" s="11">
        <v>180.92</v>
      </c>
      <c r="I26" s="11">
        <v>69.900000000000006</v>
      </c>
      <c r="J26" s="11">
        <v>24.2</v>
      </c>
      <c r="K26" s="11">
        <v>54.14</v>
      </c>
      <c r="L26" s="11">
        <v>34.61</v>
      </c>
      <c r="M26" s="11">
        <v>105.42</v>
      </c>
      <c r="N26" s="11">
        <v>118.93</v>
      </c>
      <c r="O26" s="11">
        <v>71.739999999999995</v>
      </c>
      <c r="P26" s="11">
        <v>92.31</v>
      </c>
      <c r="Q26" s="11">
        <v>151.68</v>
      </c>
      <c r="R26" s="11">
        <v>135.02000000000001</v>
      </c>
      <c r="S26" s="11"/>
      <c r="T26" s="11"/>
      <c r="U26" s="11"/>
    </row>
    <row r="27" spans="1:21" ht="17.25" x14ac:dyDescent="0.2">
      <c r="A27" s="12" t="s">
        <v>385</v>
      </c>
      <c r="B27" s="12" t="s">
        <v>117</v>
      </c>
      <c r="C27" s="11">
        <v>120.93</v>
      </c>
      <c r="D27" s="11">
        <v>150.91</v>
      </c>
      <c r="E27" s="11">
        <v>114.13</v>
      </c>
      <c r="F27" s="11">
        <v>103.69</v>
      </c>
      <c r="G27" s="11">
        <v>116.96</v>
      </c>
      <c r="H27" s="11">
        <v>197.31</v>
      </c>
      <c r="I27" s="11">
        <v>69.17</v>
      </c>
      <c r="J27" s="11">
        <v>23.62</v>
      </c>
      <c r="K27" s="11">
        <v>52.66</v>
      </c>
      <c r="L27" s="11">
        <v>34.57</v>
      </c>
      <c r="M27" s="11">
        <v>107.41</v>
      </c>
      <c r="N27" s="11">
        <v>127.42</v>
      </c>
      <c r="O27" s="11">
        <v>68.86</v>
      </c>
      <c r="P27" s="11">
        <v>96.4</v>
      </c>
      <c r="Q27" s="11">
        <v>132.94</v>
      </c>
      <c r="R27" s="11">
        <v>128.58000000000001</v>
      </c>
      <c r="S27" s="11"/>
      <c r="T27" s="11"/>
      <c r="U27" s="11"/>
    </row>
    <row r="28" spans="1:21" ht="17.25" x14ac:dyDescent="0.2">
      <c r="A28" s="12" t="s">
        <v>386</v>
      </c>
      <c r="B28" s="12" t="s">
        <v>117</v>
      </c>
      <c r="C28" s="11">
        <v>126.47</v>
      </c>
      <c r="D28" s="11">
        <v>136.11000000000001</v>
      </c>
      <c r="E28" s="11">
        <v>100.68</v>
      </c>
      <c r="F28" s="11">
        <v>95.12</v>
      </c>
      <c r="G28" s="11">
        <v>112.12</v>
      </c>
      <c r="H28" s="11">
        <v>182.01</v>
      </c>
      <c r="I28" s="11">
        <v>67.22</v>
      </c>
      <c r="J28" s="11">
        <v>25.09</v>
      </c>
      <c r="K28" s="11">
        <v>53.52</v>
      </c>
      <c r="L28" s="11">
        <v>34.99</v>
      </c>
      <c r="M28" s="11">
        <v>102.03</v>
      </c>
      <c r="N28" s="11">
        <v>115.22</v>
      </c>
      <c r="O28" s="11">
        <v>70.2</v>
      </c>
      <c r="P28" s="11">
        <v>90.29</v>
      </c>
      <c r="Q28" s="11">
        <v>138.35</v>
      </c>
      <c r="R28" s="11">
        <v>129.24</v>
      </c>
      <c r="S28" s="11"/>
      <c r="T28" s="11"/>
      <c r="U28" s="11"/>
    </row>
    <row r="29" spans="1:21" ht="17.25" x14ac:dyDescent="0.2">
      <c r="A29" s="12" t="s">
        <v>387</v>
      </c>
      <c r="B29" s="12" t="s">
        <v>117</v>
      </c>
      <c r="C29" s="11">
        <v>126.34</v>
      </c>
      <c r="D29" s="11">
        <v>149.29</v>
      </c>
      <c r="E29" s="11">
        <v>103.89</v>
      </c>
      <c r="F29" s="11">
        <v>93.84</v>
      </c>
      <c r="G29" s="11">
        <v>116.81</v>
      </c>
      <c r="H29" s="11">
        <v>183.44</v>
      </c>
      <c r="I29" s="11">
        <v>67.7</v>
      </c>
      <c r="J29" s="11">
        <v>23.09</v>
      </c>
      <c r="K29" s="11">
        <v>53.09</v>
      </c>
      <c r="L29" s="11">
        <v>32.96</v>
      </c>
      <c r="M29" s="11">
        <v>113.97</v>
      </c>
      <c r="N29" s="11">
        <v>111.39</v>
      </c>
      <c r="O29" s="11">
        <v>72.459999999999994</v>
      </c>
      <c r="P29" s="11">
        <v>93.16</v>
      </c>
      <c r="Q29" s="11">
        <v>145.47999999999999</v>
      </c>
      <c r="R29" s="11">
        <v>135.76</v>
      </c>
      <c r="S29" s="11"/>
      <c r="T29" s="11"/>
      <c r="U29" s="11"/>
    </row>
    <row r="30" spans="1:21" ht="17.25" x14ac:dyDescent="0.2">
      <c r="A30" s="12" t="s">
        <v>388</v>
      </c>
      <c r="B30" s="12" t="s">
        <v>117</v>
      </c>
      <c r="C30" s="11">
        <v>135.43</v>
      </c>
      <c r="D30" s="11">
        <v>141.68</v>
      </c>
      <c r="E30" s="11">
        <v>107.55</v>
      </c>
      <c r="F30" s="11">
        <v>93.24</v>
      </c>
      <c r="G30" s="11">
        <v>116</v>
      </c>
      <c r="H30" s="11">
        <v>185.54</v>
      </c>
      <c r="I30" s="11">
        <v>73.45</v>
      </c>
      <c r="J30" s="11">
        <v>27.89</v>
      </c>
      <c r="K30" s="11">
        <v>62.93</v>
      </c>
      <c r="L30" s="11">
        <v>36.299999999999997</v>
      </c>
      <c r="M30" s="11">
        <v>102.08</v>
      </c>
      <c r="N30" s="11">
        <v>112.65</v>
      </c>
      <c r="O30" s="11">
        <v>86.01</v>
      </c>
      <c r="P30" s="11">
        <v>95.72</v>
      </c>
      <c r="Q30" s="11">
        <v>153.37</v>
      </c>
      <c r="R30" s="11">
        <v>140.21</v>
      </c>
      <c r="S30" s="11"/>
      <c r="T30" s="11"/>
      <c r="U30" s="11"/>
    </row>
    <row r="31" spans="1:21" ht="17.25" x14ac:dyDescent="0.2">
      <c r="A31" s="12" t="s">
        <v>389</v>
      </c>
      <c r="B31" s="12" t="s">
        <v>117</v>
      </c>
      <c r="C31" s="11">
        <v>135.76</v>
      </c>
      <c r="D31" s="11">
        <v>149.41</v>
      </c>
      <c r="E31" s="11">
        <v>108.44</v>
      </c>
      <c r="F31" s="11">
        <v>96.68</v>
      </c>
      <c r="G31" s="11">
        <v>117.56</v>
      </c>
      <c r="H31" s="11">
        <v>186.46</v>
      </c>
      <c r="I31" s="11">
        <v>66.040000000000006</v>
      </c>
      <c r="J31" s="11">
        <v>27.51</v>
      </c>
      <c r="K31" s="11">
        <v>56.12</v>
      </c>
      <c r="L31" s="11">
        <v>34.340000000000003</v>
      </c>
      <c r="M31" s="11">
        <v>106.76</v>
      </c>
      <c r="N31" s="11">
        <v>121.32</v>
      </c>
      <c r="O31" s="11">
        <v>72.3</v>
      </c>
      <c r="P31" s="11">
        <v>103.29</v>
      </c>
      <c r="Q31" s="11">
        <v>159.56</v>
      </c>
      <c r="R31" s="11">
        <v>139.69</v>
      </c>
      <c r="S31" s="11"/>
      <c r="T31" s="11"/>
      <c r="U31" s="11"/>
    </row>
    <row r="32" spans="1:21" ht="17.25" x14ac:dyDescent="0.2">
      <c r="A32" s="12" t="s">
        <v>390</v>
      </c>
      <c r="B32" s="12" t="s">
        <v>117</v>
      </c>
      <c r="C32" s="11">
        <v>132.34</v>
      </c>
      <c r="D32" s="11">
        <v>150.46</v>
      </c>
      <c r="E32" s="11">
        <v>106.87</v>
      </c>
      <c r="F32" s="11">
        <v>101.1</v>
      </c>
      <c r="G32" s="11">
        <v>121.79</v>
      </c>
      <c r="H32" s="11">
        <v>199.55</v>
      </c>
      <c r="I32" s="11">
        <v>76.59</v>
      </c>
      <c r="J32" s="11">
        <v>26.83</v>
      </c>
      <c r="K32" s="11">
        <v>55.82</v>
      </c>
      <c r="L32" s="11">
        <v>36.090000000000003</v>
      </c>
      <c r="M32" s="11">
        <v>112.28</v>
      </c>
      <c r="N32" s="11">
        <v>130.83000000000001</v>
      </c>
      <c r="O32" s="11">
        <v>71.98</v>
      </c>
      <c r="P32" s="11">
        <v>100.04</v>
      </c>
      <c r="Q32" s="11">
        <v>140.62</v>
      </c>
      <c r="R32" s="11">
        <v>136.28</v>
      </c>
      <c r="S32" s="11"/>
      <c r="T32" s="11"/>
      <c r="U32" s="11"/>
    </row>
    <row r="33" spans="1:21" ht="17.25" x14ac:dyDescent="0.2">
      <c r="A33" s="12" t="s">
        <v>391</v>
      </c>
      <c r="B33" s="12" t="s">
        <v>117</v>
      </c>
      <c r="C33" s="11">
        <v>140.22</v>
      </c>
      <c r="D33" s="11">
        <v>140.94</v>
      </c>
      <c r="E33" s="11">
        <v>113.2</v>
      </c>
      <c r="F33" s="11">
        <v>101.34</v>
      </c>
      <c r="G33" s="11">
        <v>114.78</v>
      </c>
      <c r="H33" s="11">
        <v>182.52</v>
      </c>
      <c r="I33" s="11">
        <v>76.760000000000005</v>
      </c>
      <c r="J33" s="11">
        <v>24.48</v>
      </c>
      <c r="K33" s="11">
        <v>59.16</v>
      </c>
      <c r="L33" s="11">
        <v>35.1</v>
      </c>
      <c r="M33" s="11">
        <v>102.76</v>
      </c>
      <c r="N33" s="11">
        <v>105.6</v>
      </c>
      <c r="O33" s="11">
        <v>78.91</v>
      </c>
      <c r="P33" s="11">
        <v>104.63</v>
      </c>
      <c r="Q33" s="11">
        <v>156.05000000000001</v>
      </c>
      <c r="R33" s="11">
        <v>145.57</v>
      </c>
      <c r="S33" s="11"/>
      <c r="T33" s="11"/>
      <c r="U33" s="11"/>
    </row>
    <row r="34" spans="1:21" ht="17.25" x14ac:dyDescent="0.2">
      <c r="A34" s="12" t="s">
        <v>392</v>
      </c>
      <c r="B34" s="12" t="s">
        <v>117</v>
      </c>
      <c r="C34" s="11">
        <v>132.97</v>
      </c>
      <c r="D34" s="11">
        <v>144.29</v>
      </c>
      <c r="E34" s="11">
        <v>103.37</v>
      </c>
      <c r="F34" s="11">
        <v>98.64</v>
      </c>
      <c r="G34" s="11">
        <v>116.33</v>
      </c>
      <c r="H34" s="11">
        <v>187.47</v>
      </c>
      <c r="I34" s="11">
        <v>64.7</v>
      </c>
      <c r="J34" s="11">
        <v>24.56</v>
      </c>
      <c r="K34" s="11">
        <v>52.12</v>
      </c>
      <c r="L34" s="11">
        <v>34.369999999999997</v>
      </c>
      <c r="M34" s="11">
        <v>103.8</v>
      </c>
      <c r="N34" s="11">
        <v>119.9</v>
      </c>
      <c r="O34" s="11">
        <v>71.36</v>
      </c>
      <c r="P34" s="11">
        <v>94.24</v>
      </c>
      <c r="Q34" s="11">
        <v>151.44999999999999</v>
      </c>
      <c r="R34" s="11">
        <v>135.86000000000001</v>
      </c>
      <c r="S34" s="11"/>
      <c r="T34" s="11"/>
      <c r="U34" s="11"/>
    </row>
    <row r="35" spans="1:21" ht="17.25" x14ac:dyDescent="0.2">
      <c r="A35" s="12" t="s">
        <v>393</v>
      </c>
      <c r="B35" s="12" t="s">
        <v>117</v>
      </c>
      <c r="C35" s="11">
        <v>131.34</v>
      </c>
      <c r="D35" s="11">
        <v>142.16</v>
      </c>
      <c r="E35" s="11">
        <v>105.81</v>
      </c>
      <c r="F35" s="11">
        <v>93.89</v>
      </c>
      <c r="G35" s="11">
        <v>115.25</v>
      </c>
      <c r="H35" s="11">
        <v>192.56</v>
      </c>
      <c r="I35" s="11">
        <v>67.23</v>
      </c>
      <c r="J35" s="11">
        <v>22.36</v>
      </c>
      <c r="K35" s="11">
        <v>52.45</v>
      </c>
      <c r="L35" s="11">
        <v>33.020000000000003</v>
      </c>
      <c r="M35" s="11">
        <v>102.46</v>
      </c>
      <c r="N35" s="11">
        <v>119.16</v>
      </c>
      <c r="O35" s="11">
        <v>70.680000000000007</v>
      </c>
      <c r="P35" s="11">
        <v>99.72</v>
      </c>
      <c r="Q35" s="11">
        <v>145.41</v>
      </c>
      <c r="R35" s="11">
        <v>136.27000000000001</v>
      </c>
      <c r="S35" s="11"/>
      <c r="T35" s="11"/>
      <c r="U35" s="11"/>
    </row>
    <row r="36" spans="1:21" ht="17.25" x14ac:dyDescent="0.2">
      <c r="A36" s="12" t="s">
        <v>394</v>
      </c>
      <c r="B36" s="12" t="s">
        <v>117</v>
      </c>
      <c r="C36" s="11">
        <v>126.79</v>
      </c>
      <c r="D36" s="11">
        <v>143.56</v>
      </c>
      <c r="E36" s="11">
        <v>114.11</v>
      </c>
      <c r="F36" s="11">
        <v>103.79</v>
      </c>
      <c r="G36" s="11">
        <v>115.1</v>
      </c>
      <c r="H36" s="11">
        <v>188.99</v>
      </c>
      <c r="I36" s="11">
        <v>68.8</v>
      </c>
      <c r="J36" s="11">
        <v>24.15</v>
      </c>
      <c r="K36" s="11">
        <v>58.7</v>
      </c>
      <c r="L36" s="11">
        <v>36.159999999999997</v>
      </c>
      <c r="M36" s="11">
        <v>102.95</v>
      </c>
      <c r="N36" s="11">
        <v>108.12</v>
      </c>
      <c r="O36" s="11">
        <v>76.239999999999995</v>
      </c>
      <c r="P36" s="11">
        <v>91.01</v>
      </c>
      <c r="Q36" s="11">
        <v>138.24</v>
      </c>
      <c r="R36" s="11">
        <v>136.44</v>
      </c>
      <c r="S36" s="11"/>
      <c r="T36" s="11"/>
      <c r="U36" s="11"/>
    </row>
    <row r="37" spans="1:21" ht="17.25" x14ac:dyDescent="0.2">
      <c r="A37" s="12" t="s">
        <v>395</v>
      </c>
      <c r="B37" s="12" t="s">
        <v>117</v>
      </c>
      <c r="C37" s="11">
        <v>127.65</v>
      </c>
      <c r="D37" s="11">
        <v>148.96</v>
      </c>
      <c r="E37" s="11">
        <v>108.83</v>
      </c>
      <c r="F37" s="11">
        <v>99.69</v>
      </c>
      <c r="G37" s="11">
        <v>114.78</v>
      </c>
      <c r="H37" s="11">
        <v>190.23</v>
      </c>
      <c r="I37" s="11">
        <v>64.489999999999995</v>
      </c>
      <c r="J37" s="11">
        <v>28.81</v>
      </c>
      <c r="K37" s="11">
        <v>54.82</v>
      </c>
      <c r="L37" s="11">
        <v>32.840000000000003</v>
      </c>
      <c r="M37" s="11">
        <v>101.15</v>
      </c>
      <c r="N37" s="11">
        <v>121.12</v>
      </c>
      <c r="O37" s="11">
        <v>74.27</v>
      </c>
      <c r="P37" s="11">
        <v>96.08</v>
      </c>
      <c r="Q37" s="11">
        <v>142.99</v>
      </c>
      <c r="R37" s="11">
        <v>131.88999999999999</v>
      </c>
      <c r="S37" s="11"/>
      <c r="T37" s="11"/>
      <c r="U37" s="11"/>
    </row>
    <row r="38" spans="1:21" ht="17.25" x14ac:dyDescent="0.2">
      <c r="A38" s="12" t="s">
        <v>396</v>
      </c>
      <c r="B38" s="12" t="s">
        <v>117</v>
      </c>
      <c r="C38" s="11">
        <v>122.47</v>
      </c>
      <c r="D38" s="11">
        <v>145.36000000000001</v>
      </c>
      <c r="E38" s="11">
        <v>107.58</v>
      </c>
      <c r="F38" s="11">
        <v>94.88</v>
      </c>
      <c r="G38" s="11">
        <v>119.07</v>
      </c>
      <c r="H38" s="11">
        <v>190.77</v>
      </c>
      <c r="I38" s="11">
        <v>62.1</v>
      </c>
      <c r="J38" s="11">
        <v>23.11</v>
      </c>
      <c r="K38" s="11">
        <v>52.01</v>
      </c>
      <c r="L38" s="11">
        <v>32.450000000000003</v>
      </c>
      <c r="M38" s="11">
        <v>99.97</v>
      </c>
      <c r="N38" s="11">
        <v>124.93</v>
      </c>
      <c r="O38" s="11">
        <v>65.25</v>
      </c>
      <c r="P38" s="11">
        <v>95.93</v>
      </c>
      <c r="Q38" s="11">
        <v>143.71</v>
      </c>
      <c r="R38" s="11">
        <v>130.02000000000001</v>
      </c>
      <c r="S38" s="11"/>
      <c r="T38" s="11"/>
      <c r="U38" s="11"/>
    </row>
    <row r="39" spans="1:21" ht="17.25" x14ac:dyDescent="0.2">
      <c r="A39" s="12" t="s">
        <v>397</v>
      </c>
      <c r="B39" s="12" t="s">
        <v>117</v>
      </c>
      <c r="C39" s="11">
        <v>121.96</v>
      </c>
      <c r="D39" s="11">
        <v>147.46</v>
      </c>
      <c r="E39" s="11">
        <v>101.38</v>
      </c>
      <c r="F39" s="11">
        <v>96.76</v>
      </c>
      <c r="G39" s="11">
        <v>117.18</v>
      </c>
      <c r="H39" s="11">
        <v>182.3</v>
      </c>
      <c r="I39" s="11">
        <v>62.1</v>
      </c>
      <c r="J39" s="11">
        <v>21.42</v>
      </c>
      <c r="K39" s="11">
        <v>50.8</v>
      </c>
      <c r="L39" s="11">
        <v>34.630000000000003</v>
      </c>
      <c r="M39" s="11">
        <v>97.04</v>
      </c>
      <c r="N39" s="11">
        <v>122.05</v>
      </c>
      <c r="O39" s="11">
        <v>69</v>
      </c>
      <c r="P39" s="11">
        <v>97.04</v>
      </c>
      <c r="Q39" s="11">
        <v>145.72</v>
      </c>
      <c r="R39" s="11">
        <v>131.6</v>
      </c>
      <c r="S39" s="11"/>
      <c r="T39" s="11"/>
      <c r="U39" s="11"/>
    </row>
    <row r="40" spans="1:21" ht="17.25" x14ac:dyDescent="0.2">
      <c r="A40" s="12" t="s">
        <v>398</v>
      </c>
      <c r="B40" s="12" t="s">
        <v>117</v>
      </c>
      <c r="C40" s="11">
        <v>123.73</v>
      </c>
      <c r="D40" s="11">
        <v>147.03</v>
      </c>
      <c r="E40" s="11">
        <v>115.09</v>
      </c>
      <c r="F40" s="11">
        <v>110.33</v>
      </c>
      <c r="G40" s="11">
        <v>110.78</v>
      </c>
      <c r="H40" s="11">
        <v>189.12</v>
      </c>
      <c r="I40" s="11">
        <v>70.930000000000007</v>
      </c>
      <c r="J40" s="11">
        <v>27.74</v>
      </c>
      <c r="K40" s="11">
        <v>55.25</v>
      </c>
      <c r="L40" s="11">
        <v>33.46</v>
      </c>
      <c r="M40" s="11">
        <v>106.43</v>
      </c>
      <c r="N40" s="11">
        <v>121.13</v>
      </c>
      <c r="O40" s="11">
        <v>71.92</v>
      </c>
      <c r="P40" s="11">
        <v>93.36</v>
      </c>
      <c r="Q40" s="11">
        <v>138.12</v>
      </c>
      <c r="R40" s="11">
        <v>134.11000000000001</v>
      </c>
      <c r="S40" s="11"/>
      <c r="T40" s="11"/>
      <c r="U40" s="11"/>
    </row>
    <row r="41" spans="1:21" ht="17.25" x14ac:dyDescent="0.2">
      <c r="A41" s="12" t="s">
        <v>399</v>
      </c>
      <c r="B41" s="12" t="s">
        <v>117</v>
      </c>
      <c r="C41" s="11">
        <v>123.17</v>
      </c>
      <c r="D41" s="11">
        <v>135.54</v>
      </c>
      <c r="E41" s="11">
        <v>102.31</v>
      </c>
      <c r="F41" s="11">
        <v>95.63</v>
      </c>
      <c r="G41" s="11">
        <v>109.64</v>
      </c>
      <c r="H41" s="11">
        <v>181.96</v>
      </c>
      <c r="I41" s="11">
        <v>61.45</v>
      </c>
      <c r="J41" s="11">
        <v>22.14</v>
      </c>
      <c r="K41" s="11">
        <v>51.3</v>
      </c>
      <c r="L41" s="11">
        <v>34.29</v>
      </c>
      <c r="M41" s="11">
        <v>95.22</v>
      </c>
      <c r="N41" s="11">
        <v>118.96</v>
      </c>
      <c r="O41" s="11">
        <v>67.260000000000005</v>
      </c>
      <c r="P41" s="11">
        <v>92.27</v>
      </c>
      <c r="Q41" s="11">
        <v>136</v>
      </c>
      <c r="R41" s="11">
        <v>129.96</v>
      </c>
      <c r="S41" s="11"/>
      <c r="T41" s="11"/>
      <c r="U41" s="11"/>
    </row>
    <row r="42" spans="1:21" ht="17.25" x14ac:dyDescent="0.2">
      <c r="A42" s="12" t="s">
        <v>400</v>
      </c>
      <c r="B42" s="12" t="s">
        <v>117</v>
      </c>
      <c r="C42" s="11">
        <v>125.7</v>
      </c>
      <c r="D42" s="11">
        <v>137.61000000000001</v>
      </c>
      <c r="E42" s="11">
        <v>98.81</v>
      </c>
      <c r="F42" s="11">
        <v>95.3</v>
      </c>
      <c r="G42" s="11">
        <v>107.83</v>
      </c>
      <c r="H42" s="11">
        <v>171.83</v>
      </c>
      <c r="I42" s="11">
        <v>65.36</v>
      </c>
      <c r="J42" s="11">
        <v>26.5</v>
      </c>
      <c r="K42" s="11">
        <v>53.52</v>
      </c>
      <c r="L42" s="11">
        <v>34.06</v>
      </c>
      <c r="M42" s="11">
        <v>94.06</v>
      </c>
      <c r="N42" s="11">
        <v>114.23</v>
      </c>
      <c r="O42" s="11">
        <v>66.56</v>
      </c>
      <c r="P42" s="11">
        <v>90.28</v>
      </c>
      <c r="Q42" s="11">
        <v>136.69</v>
      </c>
      <c r="R42" s="11">
        <v>132.58000000000001</v>
      </c>
      <c r="S42" s="11"/>
      <c r="T42" s="11"/>
      <c r="U42" s="11"/>
    </row>
    <row r="43" spans="1:21" ht="17.25" x14ac:dyDescent="0.2">
      <c r="A43" s="12" t="s">
        <v>401</v>
      </c>
      <c r="B43" s="12" t="s">
        <v>117</v>
      </c>
      <c r="C43" s="11">
        <v>130.28</v>
      </c>
      <c r="D43" s="11">
        <v>147.15</v>
      </c>
      <c r="E43" s="11">
        <v>111.22</v>
      </c>
      <c r="F43" s="11">
        <v>108.74</v>
      </c>
      <c r="G43" s="11">
        <v>116.06</v>
      </c>
      <c r="H43" s="11">
        <v>199.56</v>
      </c>
      <c r="I43" s="11">
        <v>71.98</v>
      </c>
      <c r="J43" s="11">
        <v>24.35</v>
      </c>
      <c r="K43" s="11">
        <v>55.16</v>
      </c>
      <c r="L43" s="11">
        <v>29.56</v>
      </c>
      <c r="M43" s="11">
        <v>113.31</v>
      </c>
      <c r="N43" s="11">
        <v>128.13999999999999</v>
      </c>
      <c r="O43" s="11">
        <v>71.62</v>
      </c>
      <c r="P43" s="11">
        <v>97.17</v>
      </c>
      <c r="Q43" s="11">
        <v>146.13999999999999</v>
      </c>
      <c r="R43" s="11">
        <v>133.22</v>
      </c>
      <c r="S43" s="11"/>
      <c r="T43" s="11"/>
      <c r="U43" s="11"/>
    </row>
    <row r="44" spans="1:21" ht="17.25" x14ac:dyDescent="0.2">
      <c r="A44" s="12" t="s">
        <v>402</v>
      </c>
      <c r="B44" s="12" t="s">
        <v>117</v>
      </c>
      <c r="C44" s="11">
        <v>122.5</v>
      </c>
      <c r="D44" s="11">
        <v>143.54</v>
      </c>
      <c r="E44" s="11">
        <v>106.96</v>
      </c>
      <c r="F44" s="11">
        <v>103.36</v>
      </c>
      <c r="G44" s="11">
        <v>118.04</v>
      </c>
      <c r="H44" s="11">
        <v>187.18</v>
      </c>
      <c r="I44" s="11">
        <v>61.2</v>
      </c>
      <c r="J44" s="11">
        <v>27.74</v>
      </c>
      <c r="K44" s="11">
        <v>56.89</v>
      </c>
      <c r="L44" s="11">
        <v>37.43</v>
      </c>
      <c r="M44" s="11">
        <v>106.76</v>
      </c>
      <c r="N44" s="11">
        <v>112.75</v>
      </c>
      <c r="O44" s="11">
        <v>73.69</v>
      </c>
      <c r="P44" s="11">
        <v>91.09</v>
      </c>
      <c r="Q44" s="11">
        <v>141.13</v>
      </c>
      <c r="R44" s="11">
        <v>130.46</v>
      </c>
      <c r="S44" s="11"/>
      <c r="T44" s="11"/>
      <c r="U44" s="11"/>
    </row>
    <row r="45" spans="1:21" ht="17.25" x14ac:dyDescent="0.2">
      <c r="A45" s="12" t="s">
        <v>403</v>
      </c>
      <c r="B45" s="12" t="s">
        <v>117</v>
      </c>
      <c r="C45" s="11">
        <v>122.76</v>
      </c>
      <c r="D45" s="11">
        <v>147.69999999999999</v>
      </c>
      <c r="E45" s="11">
        <v>103.47</v>
      </c>
      <c r="F45" s="11">
        <v>97.94</v>
      </c>
      <c r="G45" s="11">
        <v>119.44</v>
      </c>
      <c r="H45" s="11">
        <v>188.56</v>
      </c>
      <c r="I45" s="11">
        <v>66.2</v>
      </c>
      <c r="J45" s="11">
        <v>24.94</v>
      </c>
      <c r="K45" s="11">
        <v>50.28</v>
      </c>
      <c r="L45" s="11">
        <v>31.63</v>
      </c>
      <c r="M45" s="11">
        <v>104.02</v>
      </c>
      <c r="N45" s="11">
        <v>123.02</v>
      </c>
      <c r="O45" s="11">
        <v>62.56</v>
      </c>
      <c r="P45" s="11">
        <v>95.56</v>
      </c>
      <c r="Q45" s="11">
        <v>142.09</v>
      </c>
      <c r="R45" s="11">
        <v>130.13</v>
      </c>
      <c r="S45" s="11"/>
      <c r="T45" s="11"/>
      <c r="U45" s="11"/>
    </row>
    <row r="46" spans="1:21" ht="17.25" x14ac:dyDescent="0.2">
      <c r="A46" s="12" t="s">
        <v>404</v>
      </c>
      <c r="B46" s="12" t="s">
        <v>117</v>
      </c>
      <c r="C46" s="11">
        <v>133.83000000000001</v>
      </c>
      <c r="D46" s="11">
        <v>140.1</v>
      </c>
      <c r="E46" s="11">
        <v>106.79</v>
      </c>
      <c r="F46" s="11">
        <v>98.05</v>
      </c>
      <c r="G46" s="11">
        <v>115.15</v>
      </c>
      <c r="H46" s="11">
        <v>195.89</v>
      </c>
      <c r="I46" s="11">
        <v>63.95</v>
      </c>
      <c r="J46" s="11">
        <v>25.45</v>
      </c>
      <c r="K46" s="11">
        <v>56.25</v>
      </c>
      <c r="L46" s="11">
        <v>34.17</v>
      </c>
      <c r="M46" s="11">
        <v>100.03</v>
      </c>
      <c r="N46" s="11">
        <v>121.76</v>
      </c>
      <c r="O46" s="11">
        <v>74.3</v>
      </c>
      <c r="P46" s="11">
        <v>96</v>
      </c>
      <c r="Q46" s="11">
        <v>146.43</v>
      </c>
      <c r="R46" s="11">
        <v>136.44</v>
      </c>
      <c r="S46" s="11"/>
      <c r="T46" s="11"/>
      <c r="U46" s="11"/>
    </row>
    <row r="47" spans="1:21" ht="17.25" x14ac:dyDescent="0.2">
      <c r="A47" s="12" t="s">
        <v>405</v>
      </c>
      <c r="B47" s="12" t="s">
        <v>117</v>
      </c>
      <c r="C47" s="11">
        <v>135.6</v>
      </c>
      <c r="D47" s="11">
        <v>137.74</v>
      </c>
      <c r="E47" s="11">
        <v>100.26</v>
      </c>
      <c r="F47" s="11">
        <v>93.23</v>
      </c>
      <c r="G47" s="11">
        <v>118.52</v>
      </c>
      <c r="H47" s="11">
        <v>187.22</v>
      </c>
      <c r="I47" s="11">
        <v>65.239999999999995</v>
      </c>
      <c r="J47" s="11">
        <v>27.26</v>
      </c>
      <c r="K47" s="11">
        <v>54.65</v>
      </c>
      <c r="L47" s="11">
        <v>38.200000000000003</v>
      </c>
      <c r="M47" s="11">
        <v>101.95</v>
      </c>
      <c r="N47" s="11">
        <v>116.91</v>
      </c>
      <c r="O47" s="11">
        <v>73.53</v>
      </c>
      <c r="P47" s="11">
        <v>95.01</v>
      </c>
      <c r="Q47" s="11">
        <v>149.69</v>
      </c>
      <c r="R47" s="11">
        <v>138.91999999999999</v>
      </c>
      <c r="S47" s="11"/>
      <c r="T47" s="11"/>
      <c r="U47" s="11"/>
    </row>
    <row r="48" spans="1:21" ht="17.25" x14ac:dyDescent="0.2">
      <c r="A48" s="12" t="s">
        <v>406</v>
      </c>
      <c r="B48" s="12" t="s">
        <v>117</v>
      </c>
      <c r="C48" s="11">
        <v>132.56</v>
      </c>
      <c r="D48" s="11">
        <v>140.4</v>
      </c>
      <c r="E48" s="11">
        <v>101.3</v>
      </c>
      <c r="F48" s="11">
        <v>95.55</v>
      </c>
      <c r="G48" s="11">
        <v>118.77</v>
      </c>
      <c r="H48" s="11">
        <v>189.53</v>
      </c>
      <c r="I48" s="11">
        <v>68.22</v>
      </c>
      <c r="J48" s="11">
        <v>26.68</v>
      </c>
      <c r="K48" s="11">
        <v>59.63</v>
      </c>
      <c r="L48" s="11">
        <v>32.409999999999997</v>
      </c>
      <c r="M48" s="11">
        <v>112.56</v>
      </c>
      <c r="N48" s="11">
        <v>113.1</v>
      </c>
      <c r="O48" s="11">
        <v>77.69</v>
      </c>
      <c r="P48" s="11">
        <v>95.59</v>
      </c>
      <c r="Q48" s="11">
        <v>145.72</v>
      </c>
      <c r="R48" s="11">
        <v>136.13</v>
      </c>
      <c r="S48" s="11"/>
      <c r="T48" s="11"/>
      <c r="U48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47"/>
  <sheetViews>
    <sheetView workbookViewId="0">
      <selection activeCell="A19" sqref="A19"/>
    </sheetView>
  </sheetViews>
  <sheetFormatPr defaultRowHeight="12.75" x14ac:dyDescent="0.2"/>
  <cols>
    <col min="1" max="3" width="15.140625" customWidth="1"/>
  </cols>
  <sheetData>
    <row r="1" spans="1:25" ht="17.25" x14ac:dyDescent="0.2">
      <c r="A1" s="1"/>
      <c r="B1" s="1"/>
      <c r="C1" s="1"/>
      <c r="D1" s="2" t="s">
        <v>15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19</v>
      </c>
      <c r="N1" s="2" t="s">
        <v>20</v>
      </c>
      <c r="O1" s="2" t="s">
        <v>21</v>
      </c>
      <c r="P1" s="2" t="s">
        <v>13</v>
      </c>
      <c r="Q1" s="2" t="s">
        <v>14</v>
      </c>
      <c r="R1" s="2" t="s">
        <v>22</v>
      </c>
      <c r="S1" s="2" t="s">
        <v>16</v>
      </c>
      <c r="T1" s="2" t="s">
        <v>17</v>
      </c>
      <c r="U1" s="3" t="s">
        <v>18</v>
      </c>
      <c r="V1" s="3" t="s">
        <v>1</v>
      </c>
      <c r="W1" s="3" t="s">
        <v>2</v>
      </c>
      <c r="X1" s="3" t="s">
        <v>3</v>
      </c>
      <c r="Y1" s="3" t="s">
        <v>4</v>
      </c>
    </row>
    <row r="2" spans="1:25" ht="17.25" x14ac:dyDescent="0.2">
      <c r="A2" s="2" t="s">
        <v>23</v>
      </c>
      <c r="B2" s="2" t="str">
        <f>"EUR"&amp;RIGHT(A2,3)</f>
        <v>EUR006</v>
      </c>
      <c r="C2" s="2" t="s">
        <v>69</v>
      </c>
      <c r="D2" s="1" t="s">
        <v>0</v>
      </c>
      <c r="E2" s="1">
        <v>121.61</v>
      </c>
      <c r="F2" s="1">
        <v>135.82</v>
      </c>
      <c r="G2" s="1">
        <v>107.3</v>
      </c>
      <c r="H2" s="1">
        <v>95.2</v>
      </c>
      <c r="I2" s="1">
        <v>110.82</v>
      </c>
      <c r="J2" s="1">
        <v>182.7</v>
      </c>
      <c r="K2" s="1">
        <v>57.02</v>
      </c>
      <c r="L2" s="1">
        <v>22.74</v>
      </c>
      <c r="M2" s="1">
        <v>52.18</v>
      </c>
      <c r="N2" s="1">
        <v>44.04</v>
      </c>
      <c r="O2" s="1">
        <v>36.78</v>
      </c>
      <c r="P2" s="1">
        <v>99.48</v>
      </c>
      <c r="Q2" s="1">
        <v>114.98</v>
      </c>
      <c r="R2" s="1">
        <v>69.53</v>
      </c>
      <c r="S2" s="1">
        <v>103.07</v>
      </c>
      <c r="T2" s="1">
        <v>143.03</v>
      </c>
      <c r="U2" s="1">
        <v>125.94</v>
      </c>
      <c r="V2" s="1"/>
      <c r="W2" s="1"/>
      <c r="X2" s="1"/>
      <c r="Y2" s="1"/>
    </row>
    <row r="3" spans="1:25" ht="17.25" x14ac:dyDescent="0.2">
      <c r="A3" s="2" t="s">
        <v>24</v>
      </c>
      <c r="B3" s="2" t="str">
        <f t="shared" ref="B3:B47" si="0">"EUR"&amp;RIGHT(A3,3)</f>
        <v>EUR007</v>
      </c>
      <c r="C3" s="2" t="s">
        <v>70</v>
      </c>
      <c r="D3" s="1" t="s">
        <v>0</v>
      </c>
      <c r="E3" s="1">
        <v>107.7</v>
      </c>
      <c r="F3" s="1">
        <v>135.26</v>
      </c>
      <c r="G3" s="1">
        <v>103.26</v>
      </c>
      <c r="H3" s="1">
        <v>99.6</v>
      </c>
      <c r="I3" s="1">
        <v>117.67</v>
      </c>
      <c r="J3" s="1">
        <v>188.41</v>
      </c>
      <c r="K3" s="1">
        <v>63.92</v>
      </c>
      <c r="L3" s="1">
        <v>23.99</v>
      </c>
      <c r="M3" s="1">
        <v>49.64</v>
      </c>
      <c r="N3" s="1">
        <v>43.78</v>
      </c>
      <c r="O3" s="1">
        <v>31.77</v>
      </c>
      <c r="P3" s="1">
        <v>97.4</v>
      </c>
      <c r="Q3" s="1">
        <v>124.66</v>
      </c>
      <c r="R3" s="1">
        <v>67.010000000000005</v>
      </c>
      <c r="S3" s="1">
        <v>99.18</v>
      </c>
      <c r="T3" s="1">
        <v>130.06</v>
      </c>
      <c r="U3" s="1">
        <v>115.65</v>
      </c>
      <c r="V3" s="1"/>
      <c r="W3" s="1"/>
      <c r="X3" s="1"/>
      <c r="Y3" s="1"/>
    </row>
    <row r="4" spans="1:25" ht="17.25" x14ac:dyDescent="0.2">
      <c r="A4" s="2" t="s">
        <v>25</v>
      </c>
      <c r="B4" s="2" t="str">
        <f t="shared" si="0"/>
        <v>EUR008</v>
      </c>
      <c r="C4" s="2" t="s">
        <v>71</v>
      </c>
      <c r="D4" s="1" t="s">
        <v>0</v>
      </c>
      <c r="E4" s="1">
        <v>123.49</v>
      </c>
      <c r="F4" s="1">
        <v>131.99</v>
      </c>
      <c r="G4" s="1">
        <v>98.29</v>
      </c>
      <c r="H4" s="1">
        <v>95.71</v>
      </c>
      <c r="I4" s="1">
        <v>105.95</v>
      </c>
      <c r="J4" s="1">
        <v>167.98</v>
      </c>
      <c r="K4" s="1">
        <v>60.98</v>
      </c>
      <c r="L4" s="1">
        <v>25.15</v>
      </c>
      <c r="M4" s="1">
        <v>46.5</v>
      </c>
      <c r="N4" s="1">
        <v>39.909999999999997</v>
      </c>
      <c r="O4" s="1">
        <v>34.090000000000003</v>
      </c>
      <c r="P4" s="1">
        <v>95.49</v>
      </c>
      <c r="Q4" s="1">
        <v>109.08</v>
      </c>
      <c r="R4" s="1">
        <v>61.24</v>
      </c>
      <c r="S4" s="1">
        <v>95.5</v>
      </c>
      <c r="T4" s="1">
        <v>146.30000000000001</v>
      </c>
      <c r="U4" s="1">
        <v>124.89</v>
      </c>
      <c r="V4" s="1"/>
      <c r="W4" s="1"/>
      <c r="X4" s="1"/>
      <c r="Y4" s="1"/>
    </row>
    <row r="5" spans="1:25" ht="17.25" x14ac:dyDescent="0.2">
      <c r="A5" s="2" t="s">
        <v>26</v>
      </c>
      <c r="B5" s="2" t="str">
        <f t="shared" si="0"/>
        <v>EUR009</v>
      </c>
      <c r="C5" s="2" t="s">
        <v>72</v>
      </c>
      <c r="D5" s="1" t="s">
        <v>0</v>
      </c>
      <c r="E5" s="1">
        <v>111.14</v>
      </c>
      <c r="F5" s="1">
        <v>136.72</v>
      </c>
      <c r="G5" s="1">
        <v>101.14</v>
      </c>
      <c r="H5" s="1">
        <v>93.07</v>
      </c>
      <c r="I5" s="1">
        <v>114.23</v>
      </c>
      <c r="J5" s="1">
        <v>185.78</v>
      </c>
      <c r="K5" s="1">
        <v>54.49</v>
      </c>
      <c r="L5" s="1">
        <v>21.32</v>
      </c>
      <c r="M5" s="1">
        <v>47.55</v>
      </c>
      <c r="N5" s="1">
        <v>39.03</v>
      </c>
      <c r="O5" s="1">
        <v>32.549999999999997</v>
      </c>
      <c r="P5" s="1">
        <v>104.49</v>
      </c>
      <c r="Q5" s="1">
        <v>115.09</v>
      </c>
      <c r="R5" s="1">
        <v>63.46</v>
      </c>
      <c r="S5" s="1">
        <v>88.83</v>
      </c>
      <c r="T5" s="1">
        <v>138.94</v>
      </c>
      <c r="U5" s="1">
        <v>114.89</v>
      </c>
      <c r="V5" s="1"/>
      <c r="W5" s="1"/>
      <c r="X5" s="1"/>
      <c r="Y5" s="1"/>
    </row>
    <row r="6" spans="1:25" ht="17.25" x14ac:dyDescent="0.2">
      <c r="A6" s="2" t="s">
        <v>27</v>
      </c>
      <c r="B6" s="2" t="str">
        <f t="shared" si="0"/>
        <v>EUR010</v>
      </c>
      <c r="C6" s="2" t="s">
        <v>73</v>
      </c>
      <c r="D6" s="1" t="s">
        <v>0</v>
      </c>
      <c r="E6" s="1">
        <v>116.82</v>
      </c>
      <c r="F6" s="1">
        <v>141.97999999999999</v>
      </c>
      <c r="G6" s="1">
        <v>100.95</v>
      </c>
      <c r="H6" s="1">
        <v>93.36</v>
      </c>
      <c r="I6" s="1">
        <v>106.64</v>
      </c>
      <c r="J6" s="1">
        <v>187.04</v>
      </c>
      <c r="K6" s="1">
        <v>61.7</v>
      </c>
      <c r="L6" s="1">
        <v>23.64</v>
      </c>
      <c r="M6" s="1">
        <v>52.28</v>
      </c>
      <c r="N6" s="1">
        <v>41.6</v>
      </c>
      <c r="O6" s="1">
        <v>36.85</v>
      </c>
      <c r="P6" s="1">
        <v>109.02</v>
      </c>
      <c r="Q6" s="1">
        <v>126.88</v>
      </c>
      <c r="R6" s="1">
        <v>69.56</v>
      </c>
      <c r="S6" s="1">
        <v>96.66</v>
      </c>
      <c r="T6" s="1">
        <v>138.34</v>
      </c>
      <c r="U6" s="1">
        <v>118.24</v>
      </c>
      <c r="V6" s="1"/>
      <c r="W6" s="1"/>
      <c r="X6" s="1"/>
      <c r="Y6" s="1"/>
    </row>
    <row r="7" spans="1:25" ht="17.25" x14ac:dyDescent="0.2">
      <c r="A7" s="2" t="s">
        <v>28</v>
      </c>
      <c r="B7" s="2" t="str">
        <f t="shared" si="0"/>
        <v>EUR011</v>
      </c>
      <c r="C7" s="2" t="s">
        <v>74</v>
      </c>
      <c r="D7" s="1" t="s">
        <v>0</v>
      </c>
      <c r="E7" s="1">
        <v>119.71</v>
      </c>
      <c r="F7" s="1">
        <v>138.27000000000001</v>
      </c>
      <c r="G7" s="1">
        <v>106.41</v>
      </c>
      <c r="H7" s="1">
        <v>93.11</v>
      </c>
      <c r="I7" s="1">
        <v>109.74</v>
      </c>
      <c r="J7" s="1">
        <v>190.03</v>
      </c>
      <c r="K7" s="1">
        <v>62.43</v>
      </c>
      <c r="L7" s="1">
        <v>21.99</v>
      </c>
      <c r="M7" s="1">
        <v>55.98</v>
      </c>
      <c r="N7" s="1">
        <v>40.85</v>
      </c>
      <c r="O7" s="1">
        <v>31.74</v>
      </c>
      <c r="P7" s="1">
        <v>103.71</v>
      </c>
      <c r="Q7" s="1">
        <v>122.41</v>
      </c>
      <c r="R7" s="1">
        <v>74.16</v>
      </c>
      <c r="S7" s="1">
        <v>94.62</v>
      </c>
      <c r="T7" s="1">
        <v>145.05000000000001</v>
      </c>
      <c r="U7" s="1">
        <v>121.06</v>
      </c>
      <c r="V7" s="1"/>
      <c r="W7" s="1"/>
      <c r="X7" s="1"/>
      <c r="Y7" s="1"/>
    </row>
    <row r="8" spans="1:25" ht="17.25" x14ac:dyDescent="0.2">
      <c r="A8" s="2" t="s">
        <v>29</v>
      </c>
      <c r="B8" s="2" t="str">
        <f t="shared" si="0"/>
        <v>EUR013</v>
      </c>
      <c r="C8" s="2" t="s">
        <v>75</v>
      </c>
      <c r="D8" s="1" t="s">
        <v>0</v>
      </c>
      <c r="E8" s="1">
        <v>121.63</v>
      </c>
      <c r="F8" s="1">
        <v>135.97999999999999</v>
      </c>
      <c r="G8" s="1">
        <v>103.41</v>
      </c>
      <c r="H8" s="1">
        <v>92.6</v>
      </c>
      <c r="I8" s="1">
        <v>109.65</v>
      </c>
      <c r="J8" s="1">
        <v>189.01</v>
      </c>
      <c r="K8" s="1">
        <v>63.19</v>
      </c>
      <c r="L8" s="1">
        <v>23.17</v>
      </c>
      <c r="M8" s="1">
        <v>51.01</v>
      </c>
      <c r="N8" s="1">
        <v>39.82</v>
      </c>
      <c r="O8" s="1">
        <v>34.700000000000003</v>
      </c>
      <c r="P8" s="1">
        <v>100.48</v>
      </c>
      <c r="Q8" s="1">
        <v>121.49</v>
      </c>
      <c r="R8" s="1">
        <v>65.290000000000006</v>
      </c>
      <c r="S8" s="1">
        <v>99.26</v>
      </c>
      <c r="T8" s="1">
        <v>136.94</v>
      </c>
      <c r="U8" s="1">
        <v>126.61</v>
      </c>
      <c r="V8" s="1"/>
      <c r="W8" s="1"/>
      <c r="X8" s="1"/>
      <c r="Y8" s="1"/>
    </row>
    <row r="9" spans="1:25" ht="17.25" x14ac:dyDescent="0.2">
      <c r="A9" s="2" t="s">
        <v>30</v>
      </c>
      <c r="B9" s="2" t="str">
        <f t="shared" si="0"/>
        <v>EUR015</v>
      </c>
      <c r="C9" s="2" t="s">
        <v>76</v>
      </c>
      <c r="D9" s="1" t="s">
        <v>0</v>
      </c>
      <c r="E9" s="1">
        <v>115.99</v>
      </c>
      <c r="F9" s="1">
        <v>138.11000000000001</v>
      </c>
      <c r="G9" s="1">
        <v>96.34</v>
      </c>
      <c r="H9" s="1">
        <v>93.06</v>
      </c>
      <c r="I9" s="1">
        <v>107.39</v>
      </c>
      <c r="J9" s="1">
        <v>172.92</v>
      </c>
      <c r="K9" s="1">
        <v>60.34</v>
      </c>
      <c r="L9" s="1">
        <v>22.37</v>
      </c>
      <c r="M9" s="1">
        <v>46.32</v>
      </c>
      <c r="N9" s="1">
        <v>39.96</v>
      </c>
      <c r="O9" s="1">
        <v>31.39</v>
      </c>
      <c r="P9" s="1">
        <v>110.74</v>
      </c>
      <c r="Q9" s="1">
        <v>112.21</v>
      </c>
      <c r="R9" s="1">
        <v>60.75</v>
      </c>
      <c r="S9" s="1">
        <v>101.35</v>
      </c>
      <c r="T9" s="1">
        <v>136.33000000000001</v>
      </c>
      <c r="U9" s="1">
        <v>119.18</v>
      </c>
      <c r="V9" s="1"/>
      <c r="W9" s="1"/>
      <c r="X9" s="1"/>
      <c r="Y9" s="1"/>
    </row>
    <row r="10" spans="1:25" ht="17.25" x14ac:dyDescent="0.2">
      <c r="A10" s="2" t="s">
        <v>31</v>
      </c>
      <c r="B10" s="2" t="str">
        <f t="shared" si="0"/>
        <v>EUR016</v>
      </c>
      <c r="C10" s="2" t="s">
        <v>77</v>
      </c>
      <c r="D10" s="1" t="s">
        <v>0</v>
      </c>
      <c r="E10" s="1">
        <v>117.64</v>
      </c>
      <c r="F10" s="1">
        <v>145.59</v>
      </c>
      <c r="G10" s="1">
        <v>105.21</v>
      </c>
      <c r="H10" s="1">
        <v>90.65</v>
      </c>
      <c r="I10" s="1">
        <v>117.2</v>
      </c>
      <c r="J10" s="1">
        <v>182.58</v>
      </c>
      <c r="K10" s="1">
        <v>63.26</v>
      </c>
      <c r="L10" s="1">
        <v>25.59</v>
      </c>
      <c r="M10" s="1">
        <v>51.31</v>
      </c>
      <c r="N10" s="1">
        <v>39.89</v>
      </c>
      <c r="O10" s="1">
        <v>34.82</v>
      </c>
      <c r="P10" s="1">
        <v>100.71</v>
      </c>
      <c r="Q10" s="1">
        <v>116.69</v>
      </c>
      <c r="R10" s="1">
        <v>68.36</v>
      </c>
      <c r="S10" s="1">
        <v>101.91</v>
      </c>
      <c r="T10" s="1">
        <v>140.16999999999999</v>
      </c>
      <c r="U10" s="1">
        <v>124.22</v>
      </c>
      <c r="V10" s="1"/>
      <c r="W10" s="1"/>
      <c r="X10" s="1"/>
      <c r="Y10" s="1"/>
    </row>
    <row r="11" spans="1:25" ht="17.25" x14ac:dyDescent="0.2">
      <c r="A11" s="2" t="s">
        <v>32</v>
      </c>
      <c r="B11" s="2" t="str">
        <f t="shared" si="0"/>
        <v>EUR017</v>
      </c>
      <c r="C11" s="2" t="s">
        <v>78</v>
      </c>
      <c r="D11" s="1" t="s">
        <v>0</v>
      </c>
      <c r="E11" s="1">
        <v>114.91</v>
      </c>
      <c r="F11" s="1">
        <v>136.33000000000001</v>
      </c>
      <c r="G11" s="1">
        <v>102.65</v>
      </c>
      <c r="H11" s="1">
        <v>95.83</v>
      </c>
      <c r="I11" s="1">
        <v>110.94</v>
      </c>
      <c r="J11" s="1">
        <v>187.04</v>
      </c>
      <c r="K11" s="1">
        <v>58.93</v>
      </c>
      <c r="L11" s="1">
        <v>25.63</v>
      </c>
      <c r="M11" s="1">
        <v>52.56</v>
      </c>
      <c r="N11" s="1">
        <v>39.18</v>
      </c>
      <c r="O11" s="1">
        <v>30.77</v>
      </c>
      <c r="P11" s="1">
        <v>101.62</v>
      </c>
      <c r="Q11" s="1">
        <v>118.44</v>
      </c>
      <c r="R11" s="1">
        <v>67.010000000000005</v>
      </c>
      <c r="S11" s="1">
        <v>96.09</v>
      </c>
      <c r="T11" s="1">
        <v>134.49</v>
      </c>
      <c r="U11" s="1">
        <v>119.74</v>
      </c>
      <c r="V11" s="1"/>
      <c r="W11" s="1"/>
      <c r="X11" s="1"/>
      <c r="Y11" s="1"/>
    </row>
    <row r="12" spans="1:25" ht="17.25" x14ac:dyDescent="0.2">
      <c r="A12" s="2" t="s">
        <v>33</v>
      </c>
      <c r="B12" s="2" t="str">
        <f t="shared" si="0"/>
        <v>EUR018</v>
      </c>
      <c r="C12" s="2" t="s">
        <v>79</v>
      </c>
      <c r="D12" s="1" t="s">
        <v>0</v>
      </c>
      <c r="E12" s="1">
        <v>116.89</v>
      </c>
      <c r="F12" s="1">
        <v>138.47</v>
      </c>
      <c r="G12" s="1">
        <v>107.45</v>
      </c>
      <c r="H12" s="1">
        <v>95.9</v>
      </c>
      <c r="I12" s="1">
        <v>113.27</v>
      </c>
      <c r="J12" s="1">
        <v>193.29</v>
      </c>
      <c r="K12" s="1">
        <v>56.22</v>
      </c>
      <c r="L12" s="1">
        <v>22.78</v>
      </c>
      <c r="M12" s="1">
        <v>50.31</v>
      </c>
      <c r="N12" s="1">
        <v>44.5</v>
      </c>
      <c r="O12" s="1">
        <v>35.94</v>
      </c>
      <c r="P12" s="1">
        <v>105.06</v>
      </c>
      <c r="Q12" s="1">
        <v>126.72</v>
      </c>
      <c r="R12" s="1">
        <v>68.42</v>
      </c>
      <c r="S12" s="1">
        <v>99.93</v>
      </c>
      <c r="T12" s="1">
        <v>137.16999999999999</v>
      </c>
      <c r="U12" s="1">
        <v>122.02</v>
      </c>
      <c r="V12" s="1"/>
      <c r="W12" s="1"/>
      <c r="X12" s="1"/>
      <c r="Y12" s="1"/>
    </row>
    <row r="13" spans="1:25" ht="17.25" x14ac:dyDescent="0.2">
      <c r="A13" s="2" t="s">
        <v>34</v>
      </c>
      <c r="B13" s="2" t="str">
        <f t="shared" si="0"/>
        <v>EUR019</v>
      </c>
      <c r="C13" s="2" t="s">
        <v>80</v>
      </c>
      <c r="D13" s="1" t="s">
        <v>0</v>
      </c>
      <c r="E13" s="1">
        <v>116.66</v>
      </c>
      <c r="F13" s="1">
        <v>140.34</v>
      </c>
      <c r="G13" s="1">
        <v>102.22</v>
      </c>
      <c r="H13" s="1">
        <v>91.85</v>
      </c>
      <c r="I13" s="1">
        <v>114.18</v>
      </c>
      <c r="J13" s="1">
        <v>186</v>
      </c>
      <c r="K13" s="1">
        <v>58.58</v>
      </c>
      <c r="L13" s="1">
        <v>19.989999999999998</v>
      </c>
      <c r="M13" s="1">
        <v>48.08</v>
      </c>
      <c r="N13" s="1">
        <v>40.26</v>
      </c>
      <c r="O13" s="1">
        <v>31.92</v>
      </c>
      <c r="P13" s="1">
        <v>103.52</v>
      </c>
      <c r="Q13" s="1">
        <v>122.65</v>
      </c>
      <c r="R13" s="1">
        <v>62.94</v>
      </c>
      <c r="S13" s="1">
        <v>95.84</v>
      </c>
      <c r="T13" s="1">
        <v>142.36000000000001</v>
      </c>
      <c r="U13" s="1">
        <v>119.96</v>
      </c>
      <c r="V13" s="1"/>
      <c r="W13" s="1"/>
      <c r="X13" s="1"/>
      <c r="Y13" s="1"/>
    </row>
    <row r="14" spans="1:25" ht="17.25" x14ac:dyDescent="0.2">
      <c r="A14" s="2" t="s">
        <v>35</v>
      </c>
      <c r="B14" s="2" t="str">
        <f t="shared" si="0"/>
        <v>EUR020</v>
      </c>
      <c r="C14" s="2" t="s">
        <v>81</v>
      </c>
      <c r="D14" s="1" t="s">
        <v>0</v>
      </c>
      <c r="E14" s="1">
        <v>117.92</v>
      </c>
      <c r="F14" s="1">
        <v>135.46</v>
      </c>
      <c r="G14" s="1">
        <v>105.63</v>
      </c>
      <c r="H14" s="1">
        <v>94.33</v>
      </c>
      <c r="I14" s="1">
        <v>112.9</v>
      </c>
      <c r="J14" s="1">
        <v>192.63</v>
      </c>
      <c r="K14" s="1">
        <v>55.9</v>
      </c>
      <c r="L14" s="1">
        <v>21.55</v>
      </c>
      <c r="M14" s="1">
        <v>50.38</v>
      </c>
      <c r="N14" s="1">
        <v>40.67</v>
      </c>
      <c r="O14" s="1">
        <v>33.619999999999997</v>
      </c>
      <c r="P14" s="1">
        <v>101.21</v>
      </c>
      <c r="Q14" s="1">
        <v>122.09</v>
      </c>
      <c r="R14" s="1">
        <v>68.319999999999993</v>
      </c>
      <c r="S14" s="1">
        <v>93.09</v>
      </c>
      <c r="T14" s="1">
        <v>137.69</v>
      </c>
      <c r="U14" s="1">
        <v>123.88</v>
      </c>
      <c r="V14" s="1"/>
      <c r="W14" s="1"/>
      <c r="X14" s="1"/>
      <c r="Y14" s="1"/>
    </row>
    <row r="15" spans="1:25" ht="17.25" x14ac:dyDescent="0.2">
      <c r="A15" s="2" t="s">
        <v>36</v>
      </c>
      <c r="B15" s="2" t="str">
        <f t="shared" si="0"/>
        <v>EUR021</v>
      </c>
      <c r="C15" s="2" t="s">
        <v>82</v>
      </c>
      <c r="D15" s="1" t="s">
        <v>0</v>
      </c>
      <c r="E15" s="1">
        <v>119.51</v>
      </c>
      <c r="F15" s="1">
        <v>132.03</v>
      </c>
      <c r="G15" s="1">
        <v>99.19</v>
      </c>
      <c r="H15" s="1">
        <v>91.41</v>
      </c>
      <c r="I15" s="1">
        <v>112.24</v>
      </c>
      <c r="J15" s="1">
        <v>174.66</v>
      </c>
      <c r="K15" s="1">
        <v>58.87</v>
      </c>
      <c r="L15" s="1">
        <v>20.46</v>
      </c>
      <c r="M15" s="1">
        <v>51.88</v>
      </c>
      <c r="N15" s="1">
        <v>40.06</v>
      </c>
      <c r="O15" s="1">
        <v>36.409999999999997</v>
      </c>
      <c r="P15" s="1">
        <v>99.09</v>
      </c>
      <c r="Q15" s="1">
        <v>107.77</v>
      </c>
      <c r="R15" s="1">
        <v>66</v>
      </c>
      <c r="S15" s="1">
        <v>94.94</v>
      </c>
      <c r="T15" s="1">
        <v>143.19999999999999</v>
      </c>
      <c r="U15" s="1">
        <v>121.11</v>
      </c>
      <c r="V15" s="1"/>
      <c r="W15" s="1"/>
      <c r="X15" s="1"/>
      <c r="Y15" s="1"/>
    </row>
    <row r="16" spans="1:25" ht="17.25" x14ac:dyDescent="0.2">
      <c r="A16" s="2" t="s">
        <v>37</v>
      </c>
      <c r="B16" s="2" t="str">
        <f t="shared" si="0"/>
        <v>EUR022</v>
      </c>
      <c r="C16" s="2" t="s">
        <v>83</v>
      </c>
      <c r="D16" s="1" t="s">
        <v>0</v>
      </c>
      <c r="E16" s="1">
        <v>119.44</v>
      </c>
      <c r="F16" s="1">
        <v>134.28</v>
      </c>
      <c r="G16" s="1">
        <v>99.73</v>
      </c>
      <c r="H16" s="1">
        <v>101.19</v>
      </c>
      <c r="I16" s="1">
        <v>108.43</v>
      </c>
      <c r="J16" s="1">
        <v>180.38</v>
      </c>
      <c r="K16" s="1">
        <v>61.31</v>
      </c>
      <c r="L16" s="1">
        <v>25.28</v>
      </c>
      <c r="M16" s="1">
        <v>52.21</v>
      </c>
      <c r="N16" s="1">
        <v>40.5</v>
      </c>
      <c r="O16" s="1">
        <v>37.07</v>
      </c>
      <c r="P16" s="1">
        <v>101.35</v>
      </c>
      <c r="Q16" s="1">
        <v>115.03</v>
      </c>
      <c r="R16" s="1">
        <v>69.400000000000006</v>
      </c>
      <c r="S16" s="1">
        <v>98.87</v>
      </c>
      <c r="T16" s="1">
        <v>139.88</v>
      </c>
      <c r="U16" s="1">
        <v>125.9</v>
      </c>
      <c r="V16" s="1"/>
      <c r="W16" s="1"/>
      <c r="X16" s="1"/>
      <c r="Y16" s="1"/>
    </row>
    <row r="17" spans="1:25" ht="17.25" x14ac:dyDescent="0.2">
      <c r="A17" s="2" t="s">
        <v>38</v>
      </c>
      <c r="B17" s="2" t="str">
        <f t="shared" si="0"/>
        <v>EUR023</v>
      </c>
      <c r="C17" s="2" t="s">
        <v>84</v>
      </c>
      <c r="D17" s="1" t="s">
        <v>0</v>
      </c>
      <c r="E17" s="1">
        <v>114.34</v>
      </c>
      <c r="F17" s="1">
        <v>127.51</v>
      </c>
      <c r="G17" s="1">
        <v>96.45</v>
      </c>
      <c r="H17" s="1">
        <v>92.66</v>
      </c>
      <c r="I17" s="1">
        <v>105.45</v>
      </c>
      <c r="J17" s="1">
        <v>172.04</v>
      </c>
      <c r="K17" s="1">
        <v>55.85</v>
      </c>
      <c r="L17" s="1">
        <v>21.81</v>
      </c>
      <c r="M17" s="1">
        <v>52.33</v>
      </c>
      <c r="N17" s="1">
        <v>39.299999999999997</v>
      </c>
      <c r="O17" s="1">
        <v>36.64</v>
      </c>
      <c r="P17" s="1">
        <v>92.77</v>
      </c>
      <c r="Q17" s="1">
        <v>107.54</v>
      </c>
      <c r="R17" s="1">
        <v>70.91</v>
      </c>
      <c r="S17" s="1">
        <v>92.97</v>
      </c>
      <c r="T17" s="1">
        <v>133</v>
      </c>
      <c r="U17" s="1">
        <v>118.09</v>
      </c>
      <c r="V17" s="1"/>
      <c r="W17" s="1"/>
      <c r="X17" s="1"/>
      <c r="Y17" s="1"/>
    </row>
    <row r="18" spans="1:25" ht="17.25" x14ac:dyDescent="0.2">
      <c r="A18" s="2" t="s">
        <v>39</v>
      </c>
      <c r="B18" s="2" t="str">
        <f t="shared" si="0"/>
        <v>EUR024</v>
      </c>
      <c r="C18" s="2" t="s">
        <v>85</v>
      </c>
      <c r="D18" s="1" t="s">
        <v>0</v>
      </c>
      <c r="E18" s="1">
        <v>114.33</v>
      </c>
      <c r="F18" s="1">
        <v>142.94</v>
      </c>
      <c r="G18" s="1">
        <v>97.88</v>
      </c>
      <c r="H18" s="1">
        <v>88.38</v>
      </c>
      <c r="I18" s="1">
        <v>118.07</v>
      </c>
      <c r="J18" s="1">
        <v>185.45</v>
      </c>
      <c r="K18" s="1">
        <v>57.35</v>
      </c>
      <c r="L18" s="1">
        <v>22.36</v>
      </c>
      <c r="M18" s="1">
        <v>49.48</v>
      </c>
      <c r="N18" s="1">
        <v>39.03</v>
      </c>
      <c r="O18" s="1">
        <v>35.81</v>
      </c>
      <c r="P18" s="1">
        <v>103</v>
      </c>
      <c r="Q18" s="1">
        <v>122.28</v>
      </c>
      <c r="R18" s="1">
        <v>68.64</v>
      </c>
      <c r="S18" s="1">
        <v>96.91</v>
      </c>
      <c r="T18" s="1">
        <v>134.66</v>
      </c>
      <c r="U18" s="1">
        <v>116.79</v>
      </c>
      <c r="V18" s="1"/>
      <c r="W18" s="1"/>
      <c r="X18" s="1"/>
      <c r="Y18" s="1"/>
    </row>
    <row r="19" spans="1:25" ht="17.25" x14ac:dyDescent="0.2">
      <c r="A19" s="2" t="s">
        <v>40</v>
      </c>
      <c r="B19" s="2" t="str">
        <f t="shared" si="0"/>
        <v>EUR025</v>
      </c>
      <c r="C19" s="2" t="s">
        <v>86</v>
      </c>
      <c r="D19" s="1" t="s">
        <v>0</v>
      </c>
      <c r="E19" s="1">
        <v>120.52</v>
      </c>
      <c r="F19" s="1">
        <v>129.65</v>
      </c>
      <c r="G19" s="1">
        <v>98.97</v>
      </c>
      <c r="H19" s="1">
        <v>97.81</v>
      </c>
      <c r="I19" s="1">
        <v>106.48</v>
      </c>
      <c r="J19" s="1">
        <v>183.99</v>
      </c>
      <c r="K19" s="1">
        <v>68.44</v>
      </c>
      <c r="L19" s="1">
        <v>28.37</v>
      </c>
      <c r="M19" s="1">
        <v>51.05</v>
      </c>
      <c r="N19" s="1">
        <v>39.22</v>
      </c>
      <c r="O19" s="1">
        <v>34.81</v>
      </c>
      <c r="P19" s="1">
        <v>101.54</v>
      </c>
      <c r="Q19" s="1">
        <v>113.71</v>
      </c>
      <c r="R19" s="1">
        <v>69.040000000000006</v>
      </c>
      <c r="S19" s="1">
        <v>94.97</v>
      </c>
      <c r="T19" s="1">
        <v>139.29</v>
      </c>
      <c r="U19" s="1">
        <v>128.58000000000001</v>
      </c>
      <c r="V19" s="1"/>
      <c r="W19" s="1"/>
      <c r="X19" s="1"/>
      <c r="Y19" s="1"/>
    </row>
    <row r="20" spans="1:25" ht="17.25" x14ac:dyDescent="0.2">
      <c r="A20" s="2" t="s">
        <v>41</v>
      </c>
      <c r="B20" s="2" t="str">
        <f t="shared" si="0"/>
        <v>EUR026</v>
      </c>
      <c r="C20" s="2" t="s">
        <v>87</v>
      </c>
      <c r="D20" s="1" t="s">
        <v>0</v>
      </c>
      <c r="E20" s="1">
        <v>120.32</v>
      </c>
      <c r="F20" s="1">
        <v>132.15</v>
      </c>
      <c r="G20" s="1">
        <v>102.29</v>
      </c>
      <c r="H20" s="1">
        <v>89.69</v>
      </c>
      <c r="I20" s="1">
        <v>109.41</v>
      </c>
      <c r="J20" s="1">
        <v>189.03</v>
      </c>
      <c r="K20" s="1">
        <v>56.65</v>
      </c>
      <c r="L20" s="1">
        <v>24.5</v>
      </c>
      <c r="M20" s="1">
        <v>55</v>
      </c>
      <c r="N20" s="1">
        <v>42.88</v>
      </c>
      <c r="O20" s="1">
        <v>35.590000000000003</v>
      </c>
      <c r="P20" s="1">
        <v>99.49</v>
      </c>
      <c r="Q20" s="1">
        <v>118.74</v>
      </c>
      <c r="R20" s="1">
        <v>68.09</v>
      </c>
      <c r="S20" s="1">
        <v>99.64</v>
      </c>
      <c r="T20" s="1">
        <v>142.65</v>
      </c>
      <c r="U20" s="1">
        <v>122.19</v>
      </c>
      <c r="V20" s="1"/>
      <c r="W20" s="1"/>
      <c r="X20" s="1"/>
      <c r="Y20" s="1"/>
    </row>
    <row r="21" spans="1:25" ht="17.25" x14ac:dyDescent="0.2">
      <c r="A21" s="2" t="s">
        <v>42</v>
      </c>
      <c r="B21" s="2" t="str">
        <f t="shared" si="0"/>
        <v>EUR027</v>
      </c>
      <c r="C21" s="2" t="s">
        <v>88</v>
      </c>
      <c r="D21" s="1" t="s">
        <v>0</v>
      </c>
      <c r="E21" s="1">
        <v>111.97</v>
      </c>
      <c r="F21" s="1">
        <v>136.84</v>
      </c>
      <c r="G21" s="1">
        <v>103.17</v>
      </c>
      <c r="H21" s="1">
        <v>91.08</v>
      </c>
      <c r="I21" s="1">
        <v>106.02</v>
      </c>
      <c r="J21" s="1">
        <v>181.83</v>
      </c>
      <c r="K21" s="1">
        <v>61.94</v>
      </c>
      <c r="L21" s="1">
        <v>23.5</v>
      </c>
      <c r="M21" s="1">
        <v>53.38</v>
      </c>
      <c r="N21" s="1">
        <v>41.48</v>
      </c>
      <c r="O21" s="1">
        <v>34.119999999999997</v>
      </c>
      <c r="P21" s="1">
        <v>98.91</v>
      </c>
      <c r="Q21" s="1">
        <v>121.1</v>
      </c>
      <c r="R21" s="1">
        <v>66.06</v>
      </c>
      <c r="S21" s="1">
        <v>98.37</v>
      </c>
      <c r="T21" s="1">
        <v>135.69999999999999</v>
      </c>
      <c r="U21" s="1">
        <v>123.68</v>
      </c>
      <c r="V21" s="1"/>
      <c r="W21" s="1"/>
      <c r="X21" s="1"/>
      <c r="Y21" s="1"/>
    </row>
    <row r="22" spans="1:25" ht="17.25" x14ac:dyDescent="0.2">
      <c r="A22" s="2" t="s">
        <v>43</v>
      </c>
      <c r="B22" s="2" t="str">
        <f t="shared" si="0"/>
        <v>EUR028</v>
      </c>
      <c r="C22" s="2" t="s">
        <v>89</v>
      </c>
      <c r="D22" s="1" t="s">
        <v>0</v>
      </c>
      <c r="E22" s="1">
        <v>114.6</v>
      </c>
      <c r="F22" s="1">
        <v>134.32</v>
      </c>
      <c r="G22" s="1">
        <v>110.99</v>
      </c>
      <c r="H22" s="1">
        <v>103.12</v>
      </c>
      <c r="I22" s="1">
        <v>103.25</v>
      </c>
      <c r="J22" s="1">
        <v>185.14</v>
      </c>
      <c r="K22" s="1">
        <v>65.709999999999994</v>
      </c>
      <c r="L22" s="1">
        <v>25.01</v>
      </c>
      <c r="M22" s="1">
        <v>55.22</v>
      </c>
      <c r="N22" s="1">
        <v>43.69</v>
      </c>
      <c r="O22" s="1">
        <v>36.79</v>
      </c>
      <c r="P22" s="1">
        <v>94</v>
      </c>
      <c r="Q22" s="1">
        <v>114.77</v>
      </c>
      <c r="R22" s="1">
        <v>70.88</v>
      </c>
      <c r="S22" s="1">
        <v>99.43</v>
      </c>
      <c r="T22" s="1">
        <v>134.88999999999999</v>
      </c>
      <c r="U22" s="1">
        <v>122.16</v>
      </c>
      <c r="V22" s="1"/>
      <c r="W22" s="1"/>
      <c r="X22" s="1"/>
      <c r="Y22" s="1"/>
    </row>
    <row r="23" spans="1:25" ht="17.25" x14ac:dyDescent="0.2">
      <c r="A23" s="2" t="s">
        <v>44</v>
      </c>
      <c r="B23" s="2" t="str">
        <f t="shared" si="0"/>
        <v>EUR031</v>
      </c>
      <c r="C23" s="2" t="s">
        <v>90</v>
      </c>
      <c r="D23" s="1" t="s">
        <v>0</v>
      </c>
      <c r="E23" s="1">
        <v>120.72</v>
      </c>
      <c r="F23" s="1">
        <v>139.68</v>
      </c>
      <c r="G23" s="1">
        <v>107.71</v>
      </c>
      <c r="H23" s="1">
        <v>97.88</v>
      </c>
      <c r="I23" s="1">
        <v>109.06</v>
      </c>
      <c r="J23" s="1">
        <v>181.1</v>
      </c>
      <c r="K23" s="1">
        <v>62.99</v>
      </c>
      <c r="L23" s="1">
        <v>25.61</v>
      </c>
      <c r="M23" s="1">
        <v>52.46</v>
      </c>
      <c r="N23" s="1">
        <v>40.86</v>
      </c>
      <c r="O23" s="1">
        <v>33.229999999999997</v>
      </c>
      <c r="P23" s="1">
        <v>93.9</v>
      </c>
      <c r="Q23" s="1">
        <v>117.26</v>
      </c>
      <c r="R23" s="1">
        <v>65.38</v>
      </c>
      <c r="S23" s="1">
        <v>96.4</v>
      </c>
      <c r="T23" s="1">
        <v>138.38999999999999</v>
      </c>
      <c r="U23" s="1">
        <v>125.66</v>
      </c>
      <c r="V23" s="1"/>
      <c r="W23" s="1"/>
      <c r="X23" s="1"/>
      <c r="Y23" s="1"/>
    </row>
    <row r="24" spans="1:25" ht="17.25" x14ac:dyDescent="0.2">
      <c r="A24" s="2" t="s">
        <v>45</v>
      </c>
      <c r="B24" s="2" t="str">
        <f t="shared" si="0"/>
        <v>EUR033</v>
      </c>
      <c r="C24" s="2" t="s">
        <v>91</v>
      </c>
      <c r="D24" s="1" t="s">
        <v>0</v>
      </c>
      <c r="E24" s="1">
        <v>109.33</v>
      </c>
      <c r="F24" s="1">
        <v>134.19</v>
      </c>
      <c r="G24" s="1">
        <v>98.72</v>
      </c>
      <c r="H24" s="1">
        <v>90.57</v>
      </c>
      <c r="I24" s="1">
        <v>109.37</v>
      </c>
      <c r="J24" s="1">
        <v>175.19</v>
      </c>
      <c r="K24" s="1">
        <v>55.74</v>
      </c>
      <c r="L24" s="1">
        <v>20.39</v>
      </c>
      <c r="M24" s="1">
        <v>50.3</v>
      </c>
      <c r="N24" s="1">
        <v>38.68</v>
      </c>
      <c r="O24" s="1">
        <v>33.11</v>
      </c>
      <c r="P24" s="1">
        <v>90.04</v>
      </c>
      <c r="Q24" s="1">
        <v>122.66</v>
      </c>
      <c r="R24" s="1">
        <v>64.44</v>
      </c>
      <c r="S24" s="1">
        <v>94.77</v>
      </c>
      <c r="T24" s="1">
        <v>137.46</v>
      </c>
      <c r="U24" s="1">
        <v>114.37</v>
      </c>
      <c r="V24" s="1"/>
      <c r="W24" s="1"/>
      <c r="X24" s="1"/>
      <c r="Y24" s="1"/>
    </row>
    <row r="25" spans="1:25" ht="17.25" x14ac:dyDescent="0.2">
      <c r="A25" s="2" t="s">
        <v>46</v>
      </c>
      <c r="B25" s="2" t="str">
        <f t="shared" si="0"/>
        <v>EUR034</v>
      </c>
      <c r="C25" s="2" t="s">
        <v>92</v>
      </c>
      <c r="D25" s="1" t="s">
        <v>0</v>
      </c>
      <c r="E25" s="1">
        <v>119.57</v>
      </c>
      <c r="F25" s="1">
        <v>144.84</v>
      </c>
      <c r="G25" s="1">
        <v>101.08</v>
      </c>
      <c r="H25" s="1">
        <v>91.03</v>
      </c>
      <c r="I25" s="1">
        <v>119.36</v>
      </c>
      <c r="J25" s="1">
        <v>179.14</v>
      </c>
      <c r="K25" s="1">
        <v>59.48</v>
      </c>
      <c r="L25" s="1">
        <v>22.77</v>
      </c>
      <c r="M25" s="1">
        <v>50.92</v>
      </c>
      <c r="N25" s="1">
        <v>42.44</v>
      </c>
      <c r="O25" s="1">
        <v>35.4</v>
      </c>
      <c r="P25" s="1">
        <v>95.81</v>
      </c>
      <c r="Q25" s="1">
        <v>123.67</v>
      </c>
      <c r="R25" s="1">
        <v>74.680000000000007</v>
      </c>
      <c r="S25" s="1">
        <v>98.4</v>
      </c>
      <c r="T25" s="1">
        <v>144.15</v>
      </c>
      <c r="U25" s="1">
        <v>123.5</v>
      </c>
      <c r="V25" s="1"/>
      <c r="W25" s="1"/>
      <c r="X25" s="1"/>
      <c r="Y25" s="1"/>
    </row>
    <row r="26" spans="1:25" ht="17.25" x14ac:dyDescent="0.2">
      <c r="A26" s="2" t="s">
        <v>47</v>
      </c>
      <c r="B26" s="2" t="str">
        <f t="shared" si="0"/>
        <v>EUR035</v>
      </c>
      <c r="C26" s="2" t="s">
        <v>93</v>
      </c>
      <c r="D26" s="1" t="s">
        <v>0</v>
      </c>
      <c r="E26" s="1">
        <v>112.76</v>
      </c>
      <c r="F26" s="1">
        <v>132.97</v>
      </c>
      <c r="G26" s="1">
        <v>92.26</v>
      </c>
      <c r="H26" s="1">
        <v>83.48</v>
      </c>
      <c r="I26" s="1">
        <v>113.37</v>
      </c>
      <c r="J26" s="1">
        <v>178.91</v>
      </c>
      <c r="K26" s="1">
        <v>60.93</v>
      </c>
      <c r="L26" s="1">
        <v>22.73</v>
      </c>
      <c r="M26" s="1">
        <v>48.58</v>
      </c>
      <c r="N26" s="1">
        <v>40.15</v>
      </c>
      <c r="O26" s="1">
        <v>31.06</v>
      </c>
      <c r="P26" s="1">
        <v>100.8</v>
      </c>
      <c r="Q26" s="1">
        <v>123.52</v>
      </c>
      <c r="R26" s="1">
        <v>64.17</v>
      </c>
      <c r="S26" s="1">
        <v>87.8</v>
      </c>
      <c r="T26" s="1">
        <v>130.81</v>
      </c>
      <c r="U26" s="1">
        <v>119.43</v>
      </c>
      <c r="V26" s="1"/>
      <c r="W26" s="1"/>
      <c r="X26" s="1"/>
      <c r="Y26" s="1"/>
    </row>
    <row r="27" spans="1:25" ht="17.25" x14ac:dyDescent="0.2">
      <c r="A27" s="2" t="s">
        <v>48</v>
      </c>
      <c r="B27" s="2" t="str">
        <f t="shared" si="0"/>
        <v>EUR040</v>
      </c>
      <c r="C27" s="2" t="s">
        <v>94</v>
      </c>
      <c r="D27" s="1" t="s">
        <v>0</v>
      </c>
      <c r="E27" s="1">
        <v>124.36</v>
      </c>
      <c r="F27" s="1">
        <v>136</v>
      </c>
      <c r="G27" s="1">
        <v>101.47</v>
      </c>
      <c r="H27" s="1">
        <v>93.31</v>
      </c>
      <c r="I27" s="1">
        <v>110.28</v>
      </c>
      <c r="J27" s="1">
        <v>179.65</v>
      </c>
      <c r="K27" s="1">
        <v>61.93</v>
      </c>
      <c r="L27" s="1">
        <v>23.63</v>
      </c>
      <c r="M27" s="1">
        <v>48.65</v>
      </c>
      <c r="N27" s="1">
        <v>43.09</v>
      </c>
      <c r="O27" s="1">
        <v>33.6</v>
      </c>
      <c r="P27" s="1">
        <v>94.27</v>
      </c>
      <c r="Q27" s="1">
        <v>121.71</v>
      </c>
      <c r="R27" s="1">
        <v>63.59</v>
      </c>
      <c r="S27" s="1">
        <v>99.45</v>
      </c>
      <c r="T27" s="1">
        <v>135.4</v>
      </c>
      <c r="U27" s="1">
        <v>131.18</v>
      </c>
      <c r="V27" s="1"/>
      <c r="W27" s="1"/>
      <c r="X27" s="1"/>
      <c r="Y27" s="1"/>
    </row>
    <row r="28" spans="1:25" ht="17.25" x14ac:dyDescent="0.2">
      <c r="A28" s="2" t="s">
        <v>49</v>
      </c>
      <c r="B28" s="2" t="str">
        <f t="shared" si="0"/>
        <v>EUR045</v>
      </c>
      <c r="C28" s="2" t="s">
        <v>95</v>
      </c>
      <c r="D28" s="1" t="s">
        <v>0</v>
      </c>
      <c r="E28" s="1">
        <v>115.61</v>
      </c>
      <c r="F28" s="1">
        <v>132.29</v>
      </c>
      <c r="G28" s="1">
        <v>99.58</v>
      </c>
      <c r="H28" s="1">
        <v>88.24</v>
      </c>
      <c r="I28" s="1">
        <v>104.59</v>
      </c>
      <c r="J28" s="1">
        <v>177.07</v>
      </c>
      <c r="K28" s="1">
        <v>57.15</v>
      </c>
      <c r="L28" s="1">
        <v>23.8</v>
      </c>
      <c r="M28" s="1">
        <v>53.5</v>
      </c>
      <c r="N28" s="1">
        <v>35.630000000000003</v>
      </c>
      <c r="O28" s="1">
        <v>32.090000000000003</v>
      </c>
      <c r="P28" s="1">
        <v>91.98</v>
      </c>
      <c r="Q28" s="1">
        <v>119.87</v>
      </c>
      <c r="R28" s="1">
        <v>66.7</v>
      </c>
      <c r="S28" s="1">
        <v>91.26</v>
      </c>
      <c r="T28" s="1">
        <v>131.97999999999999</v>
      </c>
      <c r="U28" s="1">
        <v>118.21</v>
      </c>
      <c r="V28" s="1"/>
      <c r="W28" s="1"/>
      <c r="X28" s="1"/>
      <c r="Y28" s="1"/>
    </row>
    <row r="29" spans="1:25" ht="17.25" x14ac:dyDescent="0.2">
      <c r="A29" s="2" t="s">
        <v>50</v>
      </c>
      <c r="B29" s="2" t="str">
        <f t="shared" si="0"/>
        <v>EUR049</v>
      </c>
      <c r="C29" s="2" t="s">
        <v>96</v>
      </c>
      <c r="D29" s="1" t="s">
        <v>0</v>
      </c>
      <c r="E29" s="1">
        <v>118.31</v>
      </c>
      <c r="F29" s="1">
        <v>132.78</v>
      </c>
      <c r="G29" s="1">
        <v>104.02</v>
      </c>
      <c r="H29" s="1">
        <v>92.91</v>
      </c>
      <c r="I29" s="1">
        <v>104.94</v>
      </c>
      <c r="J29" s="1">
        <v>182.75</v>
      </c>
      <c r="K29" s="1">
        <v>60.44</v>
      </c>
      <c r="L29" s="1">
        <v>21.66</v>
      </c>
      <c r="M29" s="1">
        <v>48.91</v>
      </c>
      <c r="N29" s="1">
        <v>39.909999999999997</v>
      </c>
      <c r="O29" s="1">
        <v>28.75</v>
      </c>
      <c r="P29" s="1">
        <v>96.25</v>
      </c>
      <c r="Q29" s="1">
        <v>122.34</v>
      </c>
      <c r="R29" s="1">
        <v>66.97</v>
      </c>
      <c r="S29" s="1">
        <v>96.78</v>
      </c>
      <c r="T29" s="1">
        <v>137.44999999999999</v>
      </c>
      <c r="U29" s="1">
        <v>119.49</v>
      </c>
      <c r="V29" s="1"/>
      <c r="W29" s="1"/>
      <c r="X29" s="1"/>
      <c r="Y29" s="1"/>
    </row>
    <row r="30" spans="1:25" ht="17.25" x14ac:dyDescent="0.2">
      <c r="A30" s="2" t="s">
        <v>51</v>
      </c>
      <c r="B30" s="2" t="str">
        <f t="shared" si="0"/>
        <v>EUR050</v>
      </c>
      <c r="C30" s="2" t="s">
        <v>97</v>
      </c>
      <c r="D30" s="1" t="s">
        <v>0</v>
      </c>
      <c r="E30" s="1">
        <v>118.79</v>
      </c>
      <c r="F30" s="1">
        <v>139</v>
      </c>
      <c r="G30" s="1">
        <v>102.15</v>
      </c>
      <c r="H30" s="1">
        <v>94.51</v>
      </c>
      <c r="I30" s="1">
        <v>113.2</v>
      </c>
      <c r="J30" s="1">
        <v>181.19</v>
      </c>
      <c r="K30" s="1">
        <v>60.62</v>
      </c>
      <c r="L30" s="1">
        <v>22.8</v>
      </c>
      <c r="M30" s="1">
        <v>53.74</v>
      </c>
      <c r="N30" s="1">
        <v>39.590000000000003</v>
      </c>
      <c r="O30" s="1">
        <v>33.450000000000003</v>
      </c>
      <c r="P30" s="1">
        <v>98.85</v>
      </c>
      <c r="Q30" s="1">
        <v>119.57</v>
      </c>
      <c r="R30" s="1">
        <v>69.48</v>
      </c>
      <c r="S30" s="1">
        <v>89.04</v>
      </c>
      <c r="T30" s="1">
        <v>145.15</v>
      </c>
      <c r="U30" s="1">
        <v>121.62</v>
      </c>
      <c r="V30" s="1"/>
      <c r="W30" s="1"/>
      <c r="X30" s="1"/>
      <c r="Y30" s="1"/>
    </row>
    <row r="31" spans="1:25" ht="17.25" x14ac:dyDescent="0.2">
      <c r="A31" s="2" t="s">
        <v>52</v>
      </c>
      <c r="B31" s="2" t="str">
        <f t="shared" si="0"/>
        <v>EUR052</v>
      </c>
      <c r="C31" s="2" t="s">
        <v>98</v>
      </c>
      <c r="D31" s="1" t="s">
        <v>0</v>
      </c>
      <c r="E31" s="1">
        <v>115.93</v>
      </c>
      <c r="F31" s="1">
        <v>130.11000000000001</v>
      </c>
      <c r="G31" s="1">
        <v>93.9</v>
      </c>
      <c r="H31" s="1">
        <v>85.53</v>
      </c>
      <c r="I31" s="1">
        <v>101.85</v>
      </c>
      <c r="J31" s="1">
        <v>165.58</v>
      </c>
      <c r="K31" s="1">
        <v>58.62</v>
      </c>
      <c r="L31" s="1">
        <v>21.28</v>
      </c>
      <c r="M31" s="1">
        <v>47.11</v>
      </c>
      <c r="N31" s="1">
        <v>39</v>
      </c>
      <c r="O31" s="1">
        <v>32.36</v>
      </c>
      <c r="P31" s="1">
        <v>91.37</v>
      </c>
      <c r="Q31" s="1">
        <v>109.4</v>
      </c>
      <c r="R31" s="1">
        <v>60.88</v>
      </c>
      <c r="S31" s="1">
        <v>91.03</v>
      </c>
      <c r="T31" s="1">
        <v>135.47</v>
      </c>
      <c r="U31" s="1">
        <v>116.68</v>
      </c>
      <c r="V31" s="1"/>
      <c r="W31" s="1"/>
      <c r="X31" s="1"/>
      <c r="Y31" s="1"/>
    </row>
    <row r="32" spans="1:25" ht="17.25" x14ac:dyDescent="0.2">
      <c r="A32" s="2" t="s">
        <v>53</v>
      </c>
      <c r="B32" s="2" t="str">
        <f t="shared" si="0"/>
        <v>EUR053</v>
      </c>
      <c r="C32" s="2" t="s">
        <v>99</v>
      </c>
      <c r="D32" s="1" t="s">
        <v>0</v>
      </c>
      <c r="E32" s="1">
        <v>117.17</v>
      </c>
      <c r="F32" s="1">
        <v>142.27000000000001</v>
      </c>
      <c r="G32" s="1">
        <v>98.57</v>
      </c>
      <c r="H32" s="1">
        <v>87.84</v>
      </c>
      <c r="I32" s="1">
        <v>115.19</v>
      </c>
      <c r="J32" s="1">
        <v>185.44</v>
      </c>
      <c r="K32" s="1">
        <v>55.34</v>
      </c>
      <c r="L32" s="1">
        <v>19.100000000000001</v>
      </c>
      <c r="M32" s="1">
        <v>48.45</v>
      </c>
      <c r="N32" s="1">
        <v>37.840000000000003</v>
      </c>
      <c r="O32" s="1">
        <v>32.32</v>
      </c>
      <c r="P32" s="1">
        <v>104.92</v>
      </c>
      <c r="Q32" s="1">
        <v>121.35</v>
      </c>
      <c r="R32" s="1">
        <v>66.739999999999995</v>
      </c>
      <c r="S32" s="1">
        <v>88.58</v>
      </c>
      <c r="T32" s="1">
        <v>142.9</v>
      </c>
      <c r="U32" s="1">
        <v>118.15</v>
      </c>
      <c r="V32" s="1"/>
      <c r="W32" s="1"/>
      <c r="X32" s="1"/>
      <c r="Y32" s="1"/>
    </row>
    <row r="33" spans="1:25" ht="17.25" x14ac:dyDescent="0.2">
      <c r="A33" s="2" t="s">
        <v>54</v>
      </c>
      <c r="B33" s="2" t="str">
        <f t="shared" si="0"/>
        <v>EUR054</v>
      </c>
      <c r="C33" s="2" t="s">
        <v>100</v>
      </c>
      <c r="D33" s="1" t="s">
        <v>0</v>
      </c>
      <c r="E33" s="1">
        <v>121.66</v>
      </c>
      <c r="F33" s="1">
        <v>139.79</v>
      </c>
      <c r="G33" s="1">
        <v>98.44</v>
      </c>
      <c r="H33" s="1">
        <v>86.82</v>
      </c>
      <c r="I33" s="1">
        <v>116.87</v>
      </c>
      <c r="J33" s="1">
        <v>180.37</v>
      </c>
      <c r="K33" s="1">
        <v>55.51</v>
      </c>
      <c r="L33" s="1">
        <v>22.35</v>
      </c>
      <c r="M33" s="1">
        <v>51.26</v>
      </c>
      <c r="N33" s="1">
        <v>39.39</v>
      </c>
      <c r="O33" s="1">
        <v>35.46</v>
      </c>
      <c r="P33" s="1">
        <v>103.09</v>
      </c>
      <c r="Q33" s="1">
        <v>116.62</v>
      </c>
      <c r="R33" s="1">
        <v>68.88</v>
      </c>
      <c r="S33" s="1">
        <v>96.94</v>
      </c>
      <c r="T33" s="1">
        <v>146.15</v>
      </c>
      <c r="U33" s="1">
        <v>124.56</v>
      </c>
      <c r="V33" s="1"/>
      <c r="W33" s="1"/>
      <c r="X33" s="1"/>
      <c r="Y33" s="1"/>
    </row>
    <row r="34" spans="1:25" ht="17.25" x14ac:dyDescent="0.2">
      <c r="A34" s="2" t="s">
        <v>55</v>
      </c>
      <c r="B34" s="2" t="str">
        <f t="shared" si="0"/>
        <v>EUR056</v>
      </c>
      <c r="C34" s="2" t="s">
        <v>101</v>
      </c>
      <c r="D34" s="1" t="s">
        <v>0</v>
      </c>
      <c r="E34" s="1">
        <v>115.69</v>
      </c>
      <c r="F34" s="1">
        <v>135.38999999999999</v>
      </c>
      <c r="G34" s="1">
        <v>97.57</v>
      </c>
      <c r="H34" s="1">
        <v>86.44</v>
      </c>
      <c r="I34" s="1">
        <v>105.91</v>
      </c>
      <c r="J34" s="1">
        <v>177.56</v>
      </c>
      <c r="K34" s="1">
        <v>59.95</v>
      </c>
      <c r="L34" s="1">
        <v>21.07</v>
      </c>
      <c r="M34" s="1">
        <v>50.78</v>
      </c>
      <c r="N34" s="1">
        <v>40.08</v>
      </c>
      <c r="O34" s="1">
        <v>32.619999999999997</v>
      </c>
      <c r="P34" s="1">
        <v>105.68</v>
      </c>
      <c r="Q34" s="1">
        <v>118.17</v>
      </c>
      <c r="R34" s="1">
        <v>58.82</v>
      </c>
      <c r="S34" s="1">
        <v>90.37</v>
      </c>
      <c r="T34" s="1">
        <v>140.34</v>
      </c>
      <c r="U34" s="1">
        <v>118.52</v>
      </c>
      <c r="V34" s="1"/>
      <c r="W34" s="1"/>
      <c r="X34" s="1"/>
      <c r="Y34" s="1"/>
    </row>
    <row r="35" spans="1:25" ht="17.25" x14ac:dyDescent="0.2">
      <c r="A35" s="2" t="s">
        <v>56</v>
      </c>
      <c r="B35" s="2" t="str">
        <f t="shared" si="0"/>
        <v>EUR057</v>
      </c>
      <c r="C35" s="2" t="s">
        <v>102</v>
      </c>
      <c r="D35" s="1" t="s">
        <v>0</v>
      </c>
      <c r="E35" s="1">
        <v>119.34</v>
      </c>
      <c r="F35" s="1">
        <v>138.86000000000001</v>
      </c>
      <c r="G35" s="1">
        <v>98.24</v>
      </c>
      <c r="H35" s="1">
        <v>85.02</v>
      </c>
      <c r="I35" s="1">
        <v>107.91</v>
      </c>
      <c r="J35" s="1">
        <v>180.44</v>
      </c>
      <c r="K35" s="1">
        <v>63.15</v>
      </c>
      <c r="L35" s="1">
        <v>21.59</v>
      </c>
      <c r="M35" s="1">
        <v>50.86</v>
      </c>
      <c r="N35" s="1">
        <v>40.770000000000003</v>
      </c>
      <c r="O35" s="1">
        <v>31.21</v>
      </c>
      <c r="P35" s="1">
        <v>101.71</v>
      </c>
      <c r="Q35" s="1">
        <v>121.95</v>
      </c>
      <c r="R35" s="1">
        <v>63.71</v>
      </c>
      <c r="S35" s="1">
        <v>91.34</v>
      </c>
      <c r="T35" s="1">
        <v>141.05000000000001</v>
      </c>
      <c r="U35" s="1">
        <v>121.43</v>
      </c>
      <c r="V35" s="1"/>
      <c r="W35" s="1"/>
      <c r="X35" s="1"/>
      <c r="Y35" s="1"/>
    </row>
    <row r="36" spans="1:25" ht="17.25" x14ac:dyDescent="0.2">
      <c r="A36" s="2" t="s">
        <v>57</v>
      </c>
      <c r="B36" s="2" t="str">
        <f t="shared" si="0"/>
        <v>EUR082</v>
      </c>
      <c r="C36" s="2" t="s">
        <v>103</v>
      </c>
      <c r="D36" s="1" t="s">
        <v>0</v>
      </c>
      <c r="E36" s="1">
        <v>117.72</v>
      </c>
      <c r="F36" s="1">
        <v>143.69</v>
      </c>
      <c r="G36" s="1">
        <v>107.11</v>
      </c>
      <c r="H36" s="1">
        <v>99.68</v>
      </c>
      <c r="I36" s="1">
        <v>111.7</v>
      </c>
      <c r="J36" s="1">
        <v>187.52</v>
      </c>
      <c r="K36" s="1">
        <v>60.1</v>
      </c>
      <c r="L36" s="1">
        <v>23</v>
      </c>
      <c r="M36" s="1">
        <v>49.94</v>
      </c>
      <c r="N36" s="1">
        <v>43.8</v>
      </c>
      <c r="O36" s="1">
        <v>29.21</v>
      </c>
      <c r="P36" s="1">
        <v>103.52</v>
      </c>
      <c r="Q36" s="1">
        <v>123.97</v>
      </c>
      <c r="R36" s="1">
        <v>65.56</v>
      </c>
      <c r="S36" s="1">
        <v>98.68</v>
      </c>
      <c r="T36" s="1">
        <v>135.43</v>
      </c>
      <c r="U36" s="1">
        <v>125.95</v>
      </c>
      <c r="V36" s="1"/>
      <c r="W36" s="1"/>
      <c r="X36" s="1"/>
      <c r="Y36" s="1"/>
    </row>
    <row r="37" spans="1:25" ht="17.25" x14ac:dyDescent="0.2">
      <c r="A37" s="2" t="s">
        <v>58</v>
      </c>
      <c r="B37" s="2" t="str">
        <f t="shared" si="0"/>
        <v>EUR083</v>
      </c>
      <c r="C37" s="2" t="s">
        <v>104</v>
      </c>
      <c r="D37" s="1" t="s">
        <v>0</v>
      </c>
      <c r="E37" s="1">
        <v>117.6</v>
      </c>
      <c r="F37" s="1">
        <v>141.80000000000001</v>
      </c>
      <c r="G37" s="1">
        <v>103.99</v>
      </c>
      <c r="H37" s="1">
        <v>94.38</v>
      </c>
      <c r="I37" s="1">
        <v>108.74</v>
      </c>
      <c r="J37" s="1">
        <v>185.13</v>
      </c>
      <c r="K37" s="1">
        <v>64.540000000000006</v>
      </c>
      <c r="L37" s="1">
        <v>24.03</v>
      </c>
      <c r="M37" s="1">
        <v>53.92</v>
      </c>
      <c r="N37" s="1">
        <v>43.52</v>
      </c>
      <c r="O37" s="1">
        <v>35.44</v>
      </c>
      <c r="P37" s="1">
        <v>99.35</v>
      </c>
      <c r="Q37" s="1">
        <v>123.28</v>
      </c>
      <c r="R37" s="1">
        <v>71.27</v>
      </c>
      <c r="S37" s="1">
        <v>99.15</v>
      </c>
      <c r="T37" s="1">
        <v>135.58000000000001</v>
      </c>
      <c r="U37" s="1">
        <v>123.04</v>
      </c>
      <c r="V37" s="1"/>
      <c r="W37" s="1"/>
      <c r="X37" s="1"/>
      <c r="Y37" s="1"/>
    </row>
    <row r="38" spans="1:25" ht="17.25" x14ac:dyDescent="0.2">
      <c r="A38" s="2" t="s">
        <v>59</v>
      </c>
      <c r="B38" s="2" t="str">
        <f t="shared" si="0"/>
        <v>EUR084</v>
      </c>
      <c r="C38" s="2" t="s">
        <v>105</v>
      </c>
      <c r="D38" s="1" t="s">
        <v>0</v>
      </c>
      <c r="E38" s="1">
        <v>114.29</v>
      </c>
      <c r="F38" s="1">
        <v>136.88999999999999</v>
      </c>
      <c r="G38" s="1">
        <v>106.21</v>
      </c>
      <c r="H38" s="1">
        <v>97.8</v>
      </c>
      <c r="I38" s="1">
        <v>106.83</v>
      </c>
      <c r="J38" s="1">
        <v>189.06</v>
      </c>
      <c r="K38" s="1">
        <v>65.489999999999995</v>
      </c>
      <c r="L38" s="1">
        <v>23.92</v>
      </c>
      <c r="M38" s="1">
        <v>52.55</v>
      </c>
      <c r="N38" s="1">
        <v>41.16</v>
      </c>
      <c r="O38" s="1">
        <v>34.03</v>
      </c>
      <c r="P38" s="1">
        <v>102.88</v>
      </c>
      <c r="Q38" s="1">
        <v>120.58</v>
      </c>
      <c r="R38" s="1">
        <v>68.36</v>
      </c>
      <c r="S38" s="1">
        <v>99.22</v>
      </c>
      <c r="T38" s="1">
        <v>138.80000000000001</v>
      </c>
      <c r="U38" s="1">
        <v>118.2</v>
      </c>
      <c r="V38" s="1"/>
      <c r="W38" s="1"/>
      <c r="X38" s="1"/>
      <c r="Y38" s="1"/>
    </row>
    <row r="39" spans="1:25" ht="17.25" x14ac:dyDescent="0.2">
      <c r="A39" s="2" t="s">
        <v>60</v>
      </c>
      <c r="B39" s="2" t="str">
        <f t="shared" si="0"/>
        <v>EUR085</v>
      </c>
      <c r="C39" s="2" t="s">
        <v>106</v>
      </c>
      <c r="D39" s="1" t="s">
        <v>0</v>
      </c>
      <c r="E39" s="1">
        <v>116.79</v>
      </c>
      <c r="F39" s="1">
        <v>136.38</v>
      </c>
      <c r="G39" s="1">
        <v>101.47</v>
      </c>
      <c r="H39" s="1">
        <v>91.17</v>
      </c>
      <c r="I39" s="1">
        <v>108.41</v>
      </c>
      <c r="J39" s="1">
        <v>179.46</v>
      </c>
      <c r="K39" s="1">
        <v>57.15</v>
      </c>
      <c r="L39" s="1">
        <v>18.79</v>
      </c>
      <c r="M39" s="1">
        <v>53.7</v>
      </c>
      <c r="N39" s="1">
        <v>39</v>
      </c>
      <c r="O39" s="1">
        <v>33.229999999999997</v>
      </c>
      <c r="P39" s="1">
        <v>94.09</v>
      </c>
      <c r="Q39" s="1">
        <v>119.42</v>
      </c>
      <c r="R39" s="1">
        <v>70.53</v>
      </c>
      <c r="S39" s="1">
        <v>89.5</v>
      </c>
      <c r="T39" s="1">
        <v>131.6</v>
      </c>
      <c r="U39" s="1">
        <v>121.51</v>
      </c>
      <c r="V39" s="1"/>
      <c r="W39" s="1"/>
      <c r="X39" s="1"/>
      <c r="Y39" s="1"/>
    </row>
    <row r="40" spans="1:25" ht="17.25" x14ac:dyDescent="0.2">
      <c r="A40" s="2" t="s">
        <v>61</v>
      </c>
      <c r="B40" s="2" t="str">
        <f t="shared" si="0"/>
        <v>EUR088</v>
      </c>
      <c r="C40" s="2" t="s">
        <v>107</v>
      </c>
      <c r="D40" s="1" t="s">
        <v>0</v>
      </c>
      <c r="E40" s="1">
        <v>115.02</v>
      </c>
      <c r="F40" s="1">
        <v>133.11000000000001</v>
      </c>
      <c r="G40" s="1">
        <v>101.12</v>
      </c>
      <c r="H40" s="1">
        <v>91.24</v>
      </c>
      <c r="I40" s="1">
        <v>109.78</v>
      </c>
      <c r="J40" s="1">
        <v>178.31</v>
      </c>
      <c r="K40" s="1">
        <v>54.32</v>
      </c>
      <c r="L40" s="1">
        <v>23.97</v>
      </c>
      <c r="M40" s="1">
        <v>50.59</v>
      </c>
      <c r="N40" s="1">
        <v>39.340000000000003</v>
      </c>
      <c r="O40" s="1">
        <v>34.89</v>
      </c>
      <c r="P40" s="1">
        <v>93.71</v>
      </c>
      <c r="Q40" s="1">
        <v>109.14</v>
      </c>
      <c r="R40" s="1">
        <v>65.64</v>
      </c>
      <c r="S40" s="1">
        <v>90.7</v>
      </c>
      <c r="T40" s="1">
        <v>133.44</v>
      </c>
      <c r="U40" s="1">
        <v>114.75</v>
      </c>
      <c r="V40" s="1"/>
      <c r="W40" s="1"/>
      <c r="X40" s="1"/>
      <c r="Y40" s="1"/>
    </row>
    <row r="41" spans="1:25" ht="17.25" x14ac:dyDescent="0.2">
      <c r="A41" s="2" t="s">
        <v>62</v>
      </c>
      <c r="B41" s="2" t="str">
        <f t="shared" si="0"/>
        <v>EUR090</v>
      </c>
      <c r="C41" s="2" t="s">
        <v>108</v>
      </c>
      <c r="D41" s="1" t="s">
        <v>0</v>
      </c>
      <c r="E41" s="1">
        <v>123.15</v>
      </c>
      <c r="F41" s="1">
        <v>127.87</v>
      </c>
      <c r="G41" s="1">
        <v>103.04</v>
      </c>
      <c r="H41" s="1">
        <v>91.55</v>
      </c>
      <c r="I41" s="1">
        <v>106.41</v>
      </c>
      <c r="J41" s="1">
        <v>181.19</v>
      </c>
      <c r="K41" s="1">
        <v>62.62</v>
      </c>
      <c r="L41" s="1">
        <v>23.73</v>
      </c>
      <c r="M41" s="1">
        <v>54.18</v>
      </c>
      <c r="N41" s="1">
        <v>42.8</v>
      </c>
      <c r="O41" s="1">
        <v>35.299999999999997</v>
      </c>
      <c r="P41" s="1">
        <v>98.12</v>
      </c>
      <c r="Q41" s="1">
        <v>116.43</v>
      </c>
      <c r="R41" s="1">
        <v>73.540000000000006</v>
      </c>
      <c r="S41" s="1">
        <v>101.36</v>
      </c>
      <c r="T41" s="1">
        <v>143.51</v>
      </c>
      <c r="U41" s="1">
        <v>128.91999999999999</v>
      </c>
      <c r="V41" s="1"/>
      <c r="W41" s="1"/>
      <c r="X41" s="1"/>
      <c r="Y41" s="1"/>
    </row>
    <row r="42" spans="1:25" ht="17.25" x14ac:dyDescent="0.2">
      <c r="A42" s="2" t="s">
        <v>63</v>
      </c>
      <c r="B42" s="2" t="str">
        <f t="shared" si="0"/>
        <v>EUR093</v>
      </c>
      <c r="C42" s="2" t="s">
        <v>109</v>
      </c>
      <c r="D42" s="1" t="s">
        <v>0</v>
      </c>
      <c r="E42" s="1">
        <v>114.75</v>
      </c>
      <c r="F42" s="1">
        <v>134.09</v>
      </c>
      <c r="G42" s="1">
        <v>99.18</v>
      </c>
      <c r="H42" s="1">
        <v>89.29</v>
      </c>
      <c r="I42" s="1">
        <v>110.14</v>
      </c>
      <c r="J42" s="1">
        <v>179.02</v>
      </c>
      <c r="K42" s="1">
        <v>56.14</v>
      </c>
      <c r="L42" s="1">
        <v>23.05</v>
      </c>
      <c r="M42" s="1">
        <v>52.36</v>
      </c>
      <c r="N42" s="1">
        <v>41.09</v>
      </c>
      <c r="O42" s="1">
        <v>31.33</v>
      </c>
      <c r="P42" s="1">
        <v>106.19</v>
      </c>
      <c r="Q42" s="1">
        <v>114.72</v>
      </c>
      <c r="R42" s="1">
        <v>63.13</v>
      </c>
      <c r="S42" s="1">
        <v>93.02</v>
      </c>
      <c r="T42" s="1">
        <v>134.69999999999999</v>
      </c>
      <c r="U42" s="1">
        <v>119.83</v>
      </c>
      <c r="V42" s="1"/>
      <c r="W42" s="1"/>
      <c r="X42" s="1"/>
      <c r="Y42" s="1"/>
    </row>
    <row r="43" spans="1:25" ht="17.25" x14ac:dyDescent="0.2">
      <c r="A43" s="2" t="s">
        <v>64</v>
      </c>
      <c r="B43" s="2" t="str">
        <f t="shared" si="0"/>
        <v>EUR094</v>
      </c>
      <c r="C43" s="2" t="s">
        <v>110</v>
      </c>
      <c r="D43" s="1" t="s">
        <v>0</v>
      </c>
      <c r="E43" s="1">
        <v>108.76</v>
      </c>
      <c r="F43" s="1">
        <v>141.49</v>
      </c>
      <c r="G43" s="1">
        <v>97.91</v>
      </c>
      <c r="H43" s="1">
        <v>91.74</v>
      </c>
      <c r="I43" s="1">
        <v>113.6</v>
      </c>
      <c r="J43" s="1">
        <v>175</v>
      </c>
      <c r="K43" s="1">
        <v>59.13</v>
      </c>
      <c r="L43" s="1">
        <v>21.09</v>
      </c>
      <c r="M43" s="1">
        <v>52.67</v>
      </c>
      <c r="N43" s="1">
        <v>36.04</v>
      </c>
      <c r="O43" s="1">
        <v>32.99</v>
      </c>
      <c r="P43" s="1">
        <v>104.22</v>
      </c>
      <c r="Q43" s="1">
        <v>112.26</v>
      </c>
      <c r="R43" s="1">
        <v>67.69</v>
      </c>
      <c r="S43" s="1">
        <v>89.07</v>
      </c>
      <c r="T43" s="1">
        <v>126.7</v>
      </c>
      <c r="U43" s="1">
        <v>114.95</v>
      </c>
      <c r="V43" s="1"/>
      <c r="W43" s="1"/>
      <c r="X43" s="1"/>
      <c r="Y43" s="1"/>
    </row>
    <row r="44" spans="1:25" ht="17.25" x14ac:dyDescent="0.2">
      <c r="A44" s="3" t="s">
        <v>65</v>
      </c>
      <c r="B44" s="2" t="str">
        <f t="shared" si="0"/>
        <v>EUR095</v>
      </c>
      <c r="C44" s="3" t="s">
        <v>111</v>
      </c>
      <c r="D44" s="1" t="s">
        <v>0</v>
      </c>
      <c r="E44" s="1">
        <v>120.07</v>
      </c>
      <c r="F44" s="1">
        <v>146.22</v>
      </c>
      <c r="G44" s="1">
        <v>104.44</v>
      </c>
      <c r="H44" s="1">
        <v>97.53</v>
      </c>
      <c r="I44" s="1">
        <v>118.32</v>
      </c>
      <c r="J44" s="1">
        <v>189.43</v>
      </c>
      <c r="K44" s="1">
        <v>61.09</v>
      </c>
      <c r="L44" s="1">
        <v>22.93</v>
      </c>
      <c r="M44" s="1">
        <v>49.48</v>
      </c>
      <c r="N44" s="1">
        <v>39.07</v>
      </c>
      <c r="O44" s="1">
        <v>32.25</v>
      </c>
      <c r="P44" s="1">
        <v>101.5</v>
      </c>
      <c r="Q44" s="1">
        <v>126.43</v>
      </c>
      <c r="R44" s="1">
        <v>65.959999999999994</v>
      </c>
      <c r="S44" s="1">
        <v>93.42</v>
      </c>
      <c r="T44" s="1">
        <v>136.87</v>
      </c>
      <c r="U44" s="1">
        <v>127.71</v>
      </c>
      <c r="V44" s="1"/>
      <c r="W44" s="1"/>
      <c r="X44" s="1"/>
      <c r="Y44" s="1"/>
    </row>
    <row r="45" spans="1:25" ht="17.25" x14ac:dyDescent="0.2">
      <c r="A45" s="3" t="s">
        <v>66</v>
      </c>
      <c r="B45" s="2" t="str">
        <f t="shared" si="0"/>
        <v>EUR096</v>
      </c>
      <c r="C45" s="3" t="s">
        <v>112</v>
      </c>
      <c r="D45" s="1" t="s">
        <v>0</v>
      </c>
      <c r="E45" s="1">
        <v>112.87</v>
      </c>
      <c r="F45" s="1">
        <v>133.63</v>
      </c>
      <c r="G45" s="1">
        <v>101.13</v>
      </c>
      <c r="H45" s="1">
        <v>86.85</v>
      </c>
      <c r="I45" s="1">
        <v>112.31</v>
      </c>
      <c r="J45" s="1">
        <v>185.69</v>
      </c>
      <c r="K45" s="1">
        <v>52.13</v>
      </c>
      <c r="L45" s="1">
        <v>22.73</v>
      </c>
      <c r="M45" s="1">
        <v>52.96</v>
      </c>
      <c r="N45" s="1">
        <v>41.01</v>
      </c>
      <c r="O45" s="1">
        <v>34.020000000000003</v>
      </c>
      <c r="P45" s="1">
        <v>101.01</v>
      </c>
      <c r="Q45" s="1">
        <v>117.46</v>
      </c>
      <c r="R45" s="1">
        <v>68.319999999999993</v>
      </c>
      <c r="S45" s="1">
        <v>92.51</v>
      </c>
      <c r="T45" s="1">
        <v>139.87</v>
      </c>
      <c r="U45" s="1">
        <v>118.71</v>
      </c>
      <c r="V45" s="1"/>
      <c r="W45" s="1"/>
      <c r="X45" s="1"/>
      <c r="Y45" s="1"/>
    </row>
    <row r="46" spans="1:25" ht="17.25" x14ac:dyDescent="0.2">
      <c r="A46" s="3" t="s">
        <v>67</v>
      </c>
      <c r="B46" s="2" t="str">
        <f t="shared" si="0"/>
        <v>EUR097</v>
      </c>
      <c r="C46" s="3" t="s">
        <v>113</v>
      </c>
      <c r="D46" s="1" t="s">
        <v>0</v>
      </c>
      <c r="E46" s="1">
        <v>121.52</v>
      </c>
      <c r="F46" s="1">
        <v>133.44999999999999</v>
      </c>
      <c r="G46" s="1">
        <v>96.66</v>
      </c>
      <c r="H46" s="1">
        <v>87.5</v>
      </c>
      <c r="I46" s="1">
        <v>114.4</v>
      </c>
      <c r="J46" s="1">
        <v>169.91</v>
      </c>
      <c r="K46" s="1">
        <v>59.01</v>
      </c>
      <c r="L46" s="1">
        <v>22.6</v>
      </c>
      <c r="M46" s="1">
        <v>47.55</v>
      </c>
      <c r="N46" s="1">
        <v>38.43</v>
      </c>
      <c r="O46" s="1">
        <v>37.11</v>
      </c>
      <c r="P46" s="1">
        <v>94.51</v>
      </c>
      <c r="Q46" s="1">
        <v>104.14</v>
      </c>
      <c r="R46" s="1">
        <v>64.91</v>
      </c>
      <c r="S46" s="1">
        <v>89.57</v>
      </c>
      <c r="T46" s="1">
        <v>133.08000000000001</v>
      </c>
      <c r="U46" s="1">
        <v>124.83</v>
      </c>
      <c r="V46" s="1"/>
      <c r="W46" s="1"/>
      <c r="X46" s="1"/>
      <c r="Y46" s="1"/>
    </row>
    <row r="47" spans="1:25" ht="17.25" x14ac:dyDescent="0.2">
      <c r="A47" s="3" t="s">
        <v>68</v>
      </c>
      <c r="B47" s="2" t="str">
        <f t="shared" si="0"/>
        <v>EUR099</v>
      </c>
      <c r="C47" s="3" t="s">
        <v>114</v>
      </c>
      <c r="D47" s="1" t="s">
        <v>0</v>
      </c>
      <c r="E47" s="1">
        <v>116.82</v>
      </c>
      <c r="F47" s="1">
        <v>139.13</v>
      </c>
      <c r="G47" s="1">
        <v>106.66</v>
      </c>
      <c r="H47" s="1">
        <v>93.91</v>
      </c>
      <c r="I47" s="1">
        <v>116.65</v>
      </c>
      <c r="J47" s="1">
        <v>186.93</v>
      </c>
      <c r="K47" s="1">
        <v>59.86</v>
      </c>
      <c r="L47" s="1">
        <v>21.71</v>
      </c>
      <c r="M47" s="1">
        <v>51.11</v>
      </c>
      <c r="N47" s="1">
        <v>41.47</v>
      </c>
      <c r="O47" s="1">
        <v>33.81</v>
      </c>
      <c r="P47" s="1">
        <v>99.22</v>
      </c>
      <c r="Q47" s="1">
        <v>120.66</v>
      </c>
      <c r="R47" s="1">
        <v>65.709999999999994</v>
      </c>
      <c r="S47" s="1">
        <v>95.87</v>
      </c>
      <c r="T47" s="1">
        <v>140.69999999999999</v>
      </c>
      <c r="U47" s="1">
        <v>121.56</v>
      </c>
      <c r="V47" s="1"/>
      <c r="W47" s="1"/>
      <c r="X47" s="1"/>
      <c r="Y47" s="1"/>
    </row>
  </sheetData>
  <phoneticPr fontId="0" type="noConversion"/>
  <pageMargins left="0.75" right="0.75" top="1" bottom="1" header="0.5" footer="0.5"/>
  <pageSetup paperSize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8C4F-CA6F-4CAA-B60E-7F46B7FEABAE}">
  <dimension ref="A1:Y48"/>
  <sheetViews>
    <sheetView workbookViewId="0">
      <selection activeCell="A7" sqref="A7"/>
    </sheetView>
  </sheetViews>
  <sheetFormatPr defaultRowHeight="12.75" x14ac:dyDescent="0.2"/>
  <cols>
    <col min="1" max="2" width="10.7109375" customWidth="1"/>
    <col min="3" max="3" width="11.28515625" customWidth="1"/>
  </cols>
  <sheetData>
    <row r="1" spans="1:25" ht="17.25" x14ac:dyDescent="0.2">
      <c r="A1" s="4"/>
      <c r="B1" s="4"/>
      <c r="C1" s="4"/>
      <c r="D1" s="5" t="s">
        <v>15</v>
      </c>
      <c r="E1" s="5" t="s">
        <v>5</v>
      </c>
      <c r="F1" s="5" t="s">
        <v>6</v>
      </c>
      <c r="G1" s="5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19</v>
      </c>
      <c r="N1" s="6" t="s">
        <v>20</v>
      </c>
      <c r="O1" s="6" t="s">
        <v>21</v>
      </c>
      <c r="P1" s="6" t="s">
        <v>13</v>
      </c>
      <c r="Q1" s="6" t="s">
        <v>14</v>
      </c>
      <c r="R1" s="6" t="s">
        <v>22</v>
      </c>
      <c r="S1" s="6" t="s">
        <v>16</v>
      </c>
      <c r="T1" s="6" t="s">
        <v>17</v>
      </c>
      <c r="U1" s="6" t="s">
        <v>18</v>
      </c>
      <c r="V1" s="6" t="s">
        <v>1</v>
      </c>
      <c r="W1" s="6" t="s">
        <v>2</v>
      </c>
      <c r="X1" s="6" t="s">
        <v>3</v>
      </c>
      <c r="Y1" s="6" t="s">
        <v>4</v>
      </c>
    </row>
    <row r="2" spans="1:25" ht="17.25" x14ac:dyDescent="0.2">
      <c r="A2" s="5" t="s">
        <v>115</v>
      </c>
      <c r="B2" s="5" t="str">
        <f>"EUR"&amp;RIGHT(A2,3)</f>
        <v>EUR001</v>
      </c>
      <c r="C2" s="5" t="s">
        <v>116</v>
      </c>
      <c r="D2" s="4" t="s">
        <v>117</v>
      </c>
      <c r="E2" s="4">
        <v>119.55</v>
      </c>
      <c r="F2" s="4">
        <v>138.04</v>
      </c>
      <c r="G2" s="4">
        <v>109.25</v>
      </c>
      <c r="H2" s="4">
        <v>105.87</v>
      </c>
      <c r="I2" s="4">
        <v>114.35</v>
      </c>
      <c r="J2" s="4">
        <v>200.96</v>
      </c>
      <c r="K2" s="4">
        <v>63.74</v>
      </c>
      <c r="L2" s="4">
        <v>25.76</v>
      </c>
      <c r="M2" s="4">
        <v>51.54</v>
      </c>
      <c r="N2" s="4">
        <v>43.71</v>
      </c>
      <c r="O2" s="4">
        <v>30.7</v>
      </c>
      <c r="P2" s="4">
        <v>108.65</v>
      </c>
      <c r="Q2" s="4">
        <v>128.19999999999999</v>
      </c>
      <c r="R2" s="4">
        <v>68.61</v>
      </c>
      <c r="S2" s="4">
        <v>101.08</v>
      </c>
      <c r="T2" s="4">
        <v>145.75</v>
      </c>
      <c r="U2" s="4">
        <v>125.49</v>
      </c>
      <c r="V2" s="4"/>
      <c r="W2" s="4"/>
      <c r="X2" s="4"/>
      <c r="Y2" s="4"/>
    </row>
    <row r="3" spans="1:25" ht="17.25" x14ac:dyDescent="0.2">
      <c r="A3" s="5" t="s">
        <v>118</v>
      </c>
      <c r="B3" s="5" t="str">
        <f t="shared" ref="B3:B48" si="0">"EUR"&amp;RIGHT(A3,3)</f>
        <v>EUR004</v>
      </c>
      <c r="C3" s="5" t="s">
        <v>119</v>
      </c>
      <c r="D3" s="4" t="s">
        <v>117</v>
      </c>
      <c r="E3" s="4">
        <v>122.11</v>
      </c>
      <c r="F3" s="4">
        <v>142.80000000000001</v>
      </c>
      <c r="G3" s="4">
        <v>106</v>
      </c>
      <c r="H3" s="4">
        <v>94.85</v>
      </c>
      <c r="I3" s="4">
        <v>115.51</v>
      </c>
      <c r="J3" s="4">
        <v>184.53</v>
      </c>
      <c r="K3" s="4">
        <v>58.65</v>
      </c>
      <c r="L3" s="4">
        <v>26.13</v>
      </c>
      <c r="M3" s="4">
        <v>49.92</v>
      </c>
      <c r="N3" s="4">
        <v>43.55</v>
      </c>
      <c r="O3" s="4">
        <v>32.24</v>
      </c>
      <c r="P3" s="4">
        <v>101.76</v>
      </c>
      <c r="Q3" s="4">
        <v>122.55</v>
      </c>
      <c r="R3" s="4">
        <v>62.11</v>
      </c>
      <c r="S3" s="4">
        <v>101.23</v>
      </c>
      <c r="T3" s="4">
        <v>142.80000000000001</v>
      </c>
      <c r="U3" s="4">
        <v>131.44999999999999</v>
      </c>
      <c r="V3" s="4"/>
      <c r="W3" s="4"/>
      <c r="X3" s="4"/>
      <c r="Y3" s="4"/>
    </row>
    <row r="4" spans="1:25" ht="17.25" x14ac:dyDescent="0.2">
      <c r="A4" s="5" t="s">
        <v>120</v>
      </c>
      <c r="B4" s="5" t="str">
        <f t="shared" si="0"/>
        <v>EUR005</v>
      </c>
      <c r="C4" s="5" t="s">
        <v>121</v>
      </c>
      <c r="D4" s="4" t="s">
        <v>117</v>
      </c>
      <c r="E4" s="4">
        <v>121.55</v>
      </c>
      <c r="F4" s="4">
        <v>143.31</v>
      </c>
      <c r="G4" s="4">
        <v>111.51</v>
      </c>
      <c r="H4" s="4">
        <v>109.34</v>
      </c>
      <c r="I4" s="4">
        <v>120.92</v>
      </c>
      <c r="J4" s="4">
        <v>195.84</v>
      </c>
      <c r="K4" s="4">
        <v>68.94</v>
      </c>
      <c r="L4" s="4">
        <v>28.23</v>
      </c>
      <c r="M4" s="4">
        <v>49.4</v>
      </c>
      <c r="N4" s="4">
        <v>41.72</v>
      </c>
      <c r="O4" s="4">
        <v>32.32</v>
      </c>
      <c r="P4" s="4">
        <v>99.55</v>
      </c>
      <c r="Q4" s="4">
        <v>126.03</v>
      </c>
      <c r="R4" s="4">
        <v>63.69</v>
      </c>
      <c r="S4" s="4">
        <v>102.52</v>
      </c>
      <c r="T4" s="4">
        <v>138.69</v>
      </c>
      <c r="U4" s="4">
        <v>132.18</v>
      </c>
      <c r="V4" s="4"/>
      <c r="W4" s="4"/>
      <c r="X4" s="4"/>
      <c r="Y4" s="4"/>
    </row>
    <row r="5" spans="1:25" ht="17.25" x14ac:dyDescent="0.2">
      <c r="A5" s="5" t="s">
        <v>122</v>
      </c>
      <c r="B5" s="5" t="str">
        <f t="shared" si="0"/>
        <v>EUR012</v>
      </c>
      <c r="C5" s="5" t="s">
        <v>123</v>
      </c>
      <c r="D5" s="4" t="s">
        <v>117</v>
      </c>
      <c r="E5" s="4">
        <v>122.46</v>
      </c>
      <c r="F5" s="4">
        <v>142.16</v>
      </c>
      <c r="G5" s="4">
        <v>113.95</v>
      </c>
      <c r="H5" s="4">
        <v>106.01</v>
      </c>
      <c r="I5" s="4">
        <v>117.34</v>
      </c>
      <c r="J5" s="4">
        <v>193.53</v>
      </c>
      <c r="K5" s="4">
        <v>61.41</v>
      </c>
      <c r="L5" s="4">
        <v>19.73</v>
      </c>
      <c r="M5" s="4">
        <v>56.17</v>
      </c>
      <c r="N5" s="4">
        <v>42.1</v>
      </c>
      <c r="O5" s="4">
        <v>36.57</v>
      </c>
      <c r="P5" s="4">
        <v>102.54</v>
      </c>
      <c r="Q5" s="4">
        <v>116.49</v>
      </c>
      <c r="R5" s="4">
        <v>75.16</v>
      </c>
      <c r="S5" s="4">
        <v>103.37</v>
      </c>
      <c r="T5" s="4">
        <v>142.31</v>
      </c>
      <c r="U5" s="4">
        <v>130.78</v>
      </c>
      <c r="V5" s="4"/>
      <c r="W5" s="4"/>
      <c r="X5" s="4"/>
      <c r="Y5" s="4"/>
    </row>
    <row r="6" spans="1:25" ht="17.25" x14ac:dyDescent="0.2">
      <c r="A6" s="5" t="s">
        <v>124</v>
      </c>
      <c r="B6" s="5" t="str">
        <f t="shared" si="0"/>
        <v>EUR014</v>
      </c>
      <c r="C6" s="5" t="s">
        <v>125</v>
      </c>
      <c r="D6" s="4" t="s">
        <v>117</v>
      </c>
      <c r="E6" s="4">
        <v>124.26</v>
      </c>
      <c r="F6" s="4">
        <v>139.47999999999999</v>
      </c>
      <c r="G6" s="4">
        <v>115.61</v>
      </c>
      <c r="H6" s="4">
        <v>109.63</v>
      </c>
      <c r="I6" s="4">
        <v>113.93</v>
      </c>
      <c r="J6" s="4">
        <v>203.72</v>
      </c>
      <c r="K6" s="4">
        <v>65.28</v>
      </c>
      <c r="L6" s="4">
        <v>24.81</v>
      </c>
      <c r="M6" s="4">
        <v>52.53</v>
      </c>
      <c r="N6" s="4">
        <v>44.48</v>
      </c>
      <c r="O6" s="4">
        <v>33.43</v>
      </c>
      <c r="P6" s="4">
        <v>108.79</v>
      </c>
      <c r="Q6" s="4">
        <v>126.82</v>
      </c>
      <c r="R6" s="4">
        <v>70.03</v>
      </c>
      <c r="S6" s="4">
        <v>98.12</v>
      </c>
      <c r="T6" s="4">
        <v>144.84</v>
      </c>
      <c r="U6" s="4">
        <v>128.85</v>
      </c>
      <c r="V6" s="4"/>
      <c r="W6" s="4"/>
      <c r="X6" s="4"/>
      <c r="Y6" s="4"/>
    </row>
    <row r="7" spans="1:25" ht="17.25" x14ac:dyDescent="0.2">
      <c r="A7" s="5" t="s">
        <v>126</v>
      </c>
      <c r="B7" s="5" t="str">
        <f t="shared" si="0"/>
        <v>EUR030</v>
      </c>
      <c r="C7" s="5" t="s">
        <v>127</v>
      </c>
      <c r="D7" s="4" t="s">
        <v>117</v>
      </c>
      <c r="E7" s="4">
        <v>121.39</v>
      </c>
      <c r="F7" s="4">
        <v>147.02000000000001</v>
      </c>
      <c r="G7" s="4">
        <v>105.36</v>
      </c>
      <c r="H7" s="4">
        <v>93.2</v>
      </c>
      <c r="I7" s="4">
        <v>113.23</v>
      </c>
      <c r="J7" s="4">
        <v>182.05</v>
      </c>
      <c r="K7" s="4">
        <v>65.47</v>
      </c>
      <c r="L7" s="4">
        <v>23.98</v>
      </c>
      <c r="M7" s="4">
        <v>55.55</v>
      </c>
      <c r="N7" s="4">
        <v>43.46</v>
      </c>
      <c r="O7" s="4">
        <v>35.74</v>
      </c>
      <c r="P7" s="4">
        <v>102.91</v>
      </c>
      <c r="Q7" s="4">
        <v>123.46</v>
      </c>
      <c r="R7" s="4">
        <v>71.38</v>
      </c>
      <c r="S7" s="4">
        <v>102.19</v>
      </c>
      <c r="T7" s="4">
        <v>141.43</v>
      </c>
      <c r="U7" s="4">
        <v>128.78</v>
      </c>
      <c r="V7" s="4"/>
      <c r="W7" s="4"/>
      <c r="X7" s="4"/>
      <c r="Y7" s="4"/>
    </row>
    <row r="8" spans="1:25" ht="17.25" x14ac:dyDescent="0.2">
      <c r="A8" s="5" t="s">
        <v>128</v>
      </c>
      <c r="B8" s="5" t="str">
        <f t="shared" si="0"/>
        <v>EUR037</v>
      </c>
      <c r="C8" s="5" t="s">
        <v>129</v>
      </c>
      <c r="D8" s="4" t="s">
        <v>117</v>
      </c>
      <c r="E8" s="4">
        <v>127.79</v>
      </c>
      <c r="F8" s="4">
        <v>146.19</v>
      </c>
      <c r="G8" s="4">
        <v>109.59</v>
      </c>
      <c r="H8" s="4">
        <v>92.22</v>
      </c>
      <c r="I8" s="4">
        <v>116.79</v>
      </c>
      <c r="J8" s="4">
        <v>190.37</v>
      </c>
      <c r="K8" s="4">
        <v>57.32</v>
      </c>
      <c r="L8" s="4">
        <v>23.62</v>
      </c>
      <c r="M8" s="4">
        <v>54.4</v>
      </c>
      <c r="N8" s="4">
        <v>41.75</v>
      </c>
      <c r="O8" s="4">
        <v>33.49</v>
      </c>
      <c r="P8" s="4">
        <v>106.19</v>
      </c>
      <c r="Q8" s="4">
        <v>122.11</v>
      </c>
      <c r="R8" s="4">
        <v>70.77</v>
      </c>
      <c r="S8" s="4">
        <v>99.42</v>
      </c>
      <c r="T8" s="4">
        <v>144.54</v>
      </c>
      <c r="U8" s="4">
        <v>133.01</v>
      </c>
      <c r="V8" s="4"/>
      <c r="W8" s="4"/>
      <c r="X8" s="4"/>
      <c r="Y8" s="4"/>
    </row>
    <row r="9" spans="1:25" ht="17.25" x14ac:dyDescent="0.2">
      <c r="A9" s="5" t="s">
        <v>130</v>
      </c>
      <c r="B9" s="5" t="str">
        <f t="shared" si="0"/>
        <v>EUR038</v>
      </c>
      <c r="C9" s="5" t="s">
        <v>131</v>
      </c>
      <c r="D9" s="4" t="s">
        <v>117</v>
      </c>
      <c r="E9" s="4">
        <v>121.59</v>
      </c>
      <c r="F9" s="4">
        <v>147.16999999999999</v>
      </c>
      <c r="G9" s="4">
        <v>104.91</v>
      </c>
      <c r="H9" s="4">
        <v>92.87</v>
      </c>
      <c r="I9" s="4">
        <v>112.05</v>
      </c>
      <c r="J9" s="4">
        <v>182.67</v>
      </c>
      <c r="K9" s="4">
        <v>65.87</v>
      </c>
      <c r="L9" s="4">
        <v>23.98</v>
      </c>
      <c r="M9" s="4">
        <v>54.65</v>
      </c>
      <c r="N9" s="4">
        <v>42.65</v>
      </c>
      <c r="O9" s="4">
        <v>34.380000000000003</v>
      </c>
      <c r="P9" s="4">
        <v>102.97</v>
      </c>
      <c r="Q9" s="4">
        <v>125.13</v>
      </c>
      <c r="R9" s="4">
        <v>70.48</v>
      </c>
      <c r="S9" s="4">
        <v>102.83</v>
      </c>
      <c r="T9" s="4">
        <v>141.71</v>
      </c>
      <c r="U9" s="4">
        <v>129.38</v>
      </c>
      <c r="V9" s="4"/>
      <c r="W9" s="4"/>
      <c r="X9" s="4"/>
      <c r="Y9" s="4"/>
    </row>
    <row r="10" spans="1:25" ht="17.25" x14ac:dyDescent="0.2">
      <c r="A10" s="5" t="s">
        <v>132</v>
      </c>
      <c r="B10" s="5" t="str">
        <f t="shared" si="0"/>
        <v>EUR039</v>
      </c>
      <c r="C10" s="5" t="s">
        <v>133</v>
      </c>
      <c r="D10" s="4" t="s">
        <v>117</v>
      </c>
      <c r="E10" s="4">
        <v>114.47</v>
      </c>
      <c r="F10" s="4">
        <v>145.57</v>
      </c>
      <c r="G10" s="4">
        <v>116.8</v>
      </c>
      <c r="H10" s="4">
        <v>109.17</v>
      </c>
      <c r="I10" s="4">
        <v>114.75</v>
      </c>
      <c r="J10" s="4">
        <v>191.01</v>
      </c>
      <c r="K10" s="4">
        <v>57.97</v>
      </c>
      <c r="L10" s="4">
        <v>22.17</v>
      </c>
      <c r="M10" s="4">
        <v>51.91</v>
      </c>
      <c r="N10" s="4">
        <v>43.66</v>
      </c>
      <c r="O10" s="4">
        <v>34.74</v>
      </c>
      <c r="P10" s="4">
        <v>94.42</v>
      </c>
      <c r="Q10" s="4">
        <v>120.04</v>
      </c>
      <c r="R10" s="4">
        <v>67.45</v>
      </c>
      <c r="S10" s="4">
        <v>100.35</v>
      </c>
      <c r="T10" s="4">
        <v>138.62</v>
      </c>
      <c r="U10" s="4">
        <v>120.96</v>
      </c>
      <c r="V10" s="4"/>
      <c r="W10" s="4"/>
      <c r="X10" s="4"/>
      <c r="Y10" s="4"/>
    </row>
    <row r="11" spans="1:25" ht="17.25" x14ac:dyDescent="0.2">
      <c r="A11" s="5" t="s">
        <v>134</v>
      </c>
      <c r="B11" s="5" t="str">
        <f t="shared" si="0"/>
        <v>EUR041</v>
      </c>
      <c r="C11" s="5" t="s">
        <v>135</v>
      </c>
      <c r="D11" s="4" t="s">
        <v>117</v>
      </c>
      <c r="E11" s="4">
        <v>124.72</v>
      </c>
      <c r="F11" s="4">
        <v>144.53</v>
      </c>
      <c r="G11" s="4">
        <v>102.33</v>
      </c>
      <c r="H11" s="4">
        <v>92.22</v>
      </c>
      <c r="I11" s="4">
        <v>117.89</v>
      </c>
      <c r="J11" s="4">
        <v>189.84</v>
      </c>
      <c r="K11" s="4">
        <v>62.85</v>
      </c>
      <c r="L11" s="4">
        <v>20.67</v>
      </c>
      <c r="M11" s="4">
        <v>50.89</v>
      </c>
      <c r="N11" s="4">
        <v>40.9</v>
      </c>
      <c r="O11" s="4">
        <v>30.29</v>
      </c>
      <c r="P11" s="4">
        <v>103.29</v>
      </c>
      <c r="Q11" s="4">
        <v>123.33</v>
      </c>
      <c r="R11" s="4">
        <v>69.39</v>
      </c>
      <c r="S11" s="4">
        <v>100.95</v>
      </c>
      <c r="T11" s="4">
        <v>138.30000000000001</v>
      </c>
      <c r="U11" s="4">
        <v>129.93</v>
      </c>
      <c r="V11" s="4"/>
      <c r="W11" s="4"/>
      <c r="X11" s="4"/>
      <c r="Y11" s="4"/>
    </row>
    <row r="12" spans="1:25" ht="17.25" x14ac:dyDescent="0.2">
      <c r="A12" s="5" t="s">
        <v>136</v>
      </c>
      <c r="B12" s="5" t="str">
        <f t="shared" si="0"/>
        <v>EUR042</v>
      </c>
      <c r="C12" s="5" t="s">
        <v>137</v>
      </c>
      <c r="D12" s="4" t="s">
        <v>117</v>
      </c>
      <c r="E12" s="4">
        <v>118.77</v>
      </c>
      <c r="F12" s="4">
        <v>134.53</v>
      </c>
      <c r="G12" s="4">
        <v>98.2</v>
      </c>
      <c r="H12" s="4">
        <v>96.73</v>
      </c>
      <c r="I12" s="4">
        <v>115.78</v>
      </c>
      <c r="J12" s="4">
        <v>186.37</v>
      </c>
      <c r="K12" s="4">
        <v>61.48</v>
      </c>
      <c r="L12" s="4">
        <v>23.78</v>
      </c>
      <c r="M12" s="4">
        <v>50.48</v>
      </c>
      <c r="N12" s="4">
        <v>42.64</v>
      </c>
      <c r="O12" s="4">
        <v>31.85</v>
      </c>
      <c r="P12" s="4">
        <v>103.95</v>
      </c>
      <c r="Q12" s="4">
        <v>114.02</v>
      </c>
      <c r="R12" s="4">
        <v>63.99</v>
      </c>
      <c r="S12" s="4">
        <v>91.85</v>
      </c>
      <c r="T12" s="4">
        <v>136.94999999999999</v>
      </c>
      <c r="U12" s="4">
        <v>125.98</v>
      </c>
      <c r="V12" s="4"/>
      <c r="W12" s="4"/>
      <c r="X12" s="4"/>
      <c r="Y12" s="4"/>
    </row>
    <row r="13" spans="1:25" ht="17.25" x14ac:dyDescent="0.2">
      <c r="A13" s="5" t="s">
        <v>138</v>
      </c>
      <c r="B13" s="5" t="str">
        <f t="shared" si="0"/>
        <v>EUR044</v>
      </c>
      <c r="C13" s="5" t="s">
        <v>139</v>
      </c>
      <c r="D13" s="4" t="s">
        <v>117</v>
      </c>
      <c r="E13" s="4">
        <v>125.81</v>
      </c>
      <c r="F13" s="4">
        <v>149.63999999999999</v>
      </c>
      <c r="G13" s="4">
        <v>104.48</v>
      </c>
      <c r="H13" s="4">
        <v>98.85</v>
      </c>
      <c r="I13" s="4">
        <v>119.85</v>
      </c>
      <c r="J13" s="4">
        <v>185.83</v>
      </c>
      <c r="K13" s="4">
        <v>62.81</v>
      </c>
      <c r="L13" s="4">
        <v>25.17</v>
      </c>
      <c r="M13" s="4">
        <v>54.47</v>
      </c>
      <c r="N13" s="4">
        <v>39.130000000000003</v>
      </c>
      <c r="O13" s="4">
        <v>30.67</v>
      </c>
      <c r="P13" s="4">
        <v>99.26</v>
      </c>
      <c r="Q13" s="4">
        <v>125.18</v>
      </c>
      <c r="R13" s="4">
        <v>73.38</v>
      </c>
      <c r="S13" s="4">
        <v>89.46</v>
      </c>
      <c r="T13" s="4">
        <v>144.74</v>
      </c>
      <c r="U13" s="4">
        <v>130.75</v>
      </c>
      <c r="V13" s="4"/>
      <c r="W13" s="4"/>
      <c r="X13" s="4"/>
      <c r="Y13" s="4"/>
    </row>
    <row r="14" spans="1:25" ht="17.25" x14ac:dyDescent="0.2">
      <c r="A14" s="5" t="s">
        <v>140</v>
      </c>
      <c r="B14" s="5" t="str">
        <f t="shared" si="0"/>
        <v>EUR046</v>
      </c>
      <c r="C14" s="5" t="s">
        <v>141</v>
      </c>
      <c r="D14" s="4" t="s">
        <v>117</v>
      </c>
      <c r="E14" s="4">
        <v>124.85</v>
      </c>
      <c r="F14" s="4">
        <v>148.75</v>
      </c>
      <c r="G14" s="4">
        <v>106.25</v>
      </c>
      <c r="H14" s="4">
        <v>105.76</v>
      </c>
      <c r="I14" s="4">
        <v>117.07</v>
      </c>
      <c r="J14" s="4">
        <v>193.67</v>
      </c>
      <c r="K14" s="4">
        <v>65.12</v>
      </c>
      <c r="L14" s="4">
        <v>22.28</v>
      </c>
      <c r="M14" s="4">
        <v>56.34</v>
      </c>
      <c r="N14" s="4">
        <v>39.4</v>
      </c>
      <c r="O14" s="4">
        <v>35.950000000000003</v>
      </c>
      <c r="P14" s="4">
        <v>114.23</v>
      </c>
      <c r="Q14" s="4">
        <v>126.78</v>
      </c>
      <c r="R14" s="4">
        <v>72.959999999999994</v>
      </c>
      <c r="S14" s="4">
        <v>98.69</v>
      </c>
      <c r="T14" s="4">
        <v>143.79</v>
      </c>
      <c r="U14" s="4">
        <v>132.30000000000001</v>
      </c>
      <c r="V14" s="4"/>
      <c r="W14" s="4"/>
      <c r="X14" s="4"/>
      <c r="Y14" s="4"/>
    </row>
    <row r="15" spans="1:25" ht="17.25" x14ac:dyDescent="0.2">
      <c r="A15" s="5" t="s">
        <v>142</v>
      </c>
      <c r="B15" s="5" t="str">
        <f t="shared" si="0"/>
        <v>EUR047</v>
      </c>
      <c r="C15" s="5" t="s">
        <v>143</v>
      </c>
      <c r="D15" s="4" t="s">
        <v>117</v>
      </c>
      <c r="E15" s="4">
        <v>119.51</v>
      </c>
      <c r="F15" s="4">
        <v>143.96</v>
      </c>
      <c r="G15" s="4">
        <v>108.73</v>
      </c>
      <c r="H15" s="4">
        <v>101.72</v>
      </c>
      <c r="I15" s="4">
        <v>113.65</v>
      </c>
      <c r="J15" s="4">
        <v>192.79</v>
      </c>
      <c r="K15" s="4">
        <v>62.73</v>
      </c>
      <c r="L15" s="4">
        <v>23.21</v>
      </c>
      <c r="M15" s="4">
        <v>50.31</v>
      </c>
      <c r="N15" s="4">
        <v>42.13</v>
      </c>
      <c r="O15" s="4">
        <v>31.11</v>
      </c>
      <c r="P15" s="4">
        <v>103.35</v>
      </c>
      <c r="Q15" s="4">
        <v>126.25</v>
      </c>
      <c r="R15" s="4">
        <v>67.5</v>
      </c>
      <c r="S15" s="4">
        <v>93.88</v>
      </c>
      <c r="T15" s="4">
        <v>140.4</v>
      </c>
      <c r="U15" s="4">
        <v>124.27</v>
      </c>
      <c r="V15" s="4"/>
      <c r="W15" s="4"/>
      <c r="X15" s="4"/>
      <c r="Y15" s="4"/>
    </row>
    <row r="16" spans="1:25" ht="17.25" x14ac:dyDescent="0.2">
      <c r="A16" s="5" t="s">
        <v>144</v>
      </c>
      <c r="B16" s="5" t="str">
        <f t="shared" si="0"/>
        <v>EUR048</v>
      </c>
      <c r="C16" s="5" t="s">
        <v>145</v>
      </c>
      <c r="D16" s="4" t="s">
        <v>117</v>
      </c>
      <c r="E16" s="4">
        <v>126.08</v>
      </c>
      <c r="F16" s="4">
        <v>142.24</v>
      </c>
      <c r="G16" s="4">
        <v>107.84</v>
      </c>
      <c r="H16" s="4">
        <v>94.82</v>
      </c>
      <c r="I16" s="4">
        <v>113.36</v>
      </c>
      <c r="J16" s="4">
        <v>175.35</v>
      </c>
      <c r="K16" s="4">
        <v>62.76</v>
      </c>
      <c r="L16" s="4">
        <v>23.32</v>
      </c>
      <c r="M16" s="4">
        <v>53.63</v>
      </c>
      <c r="N16" s="4">
        <v>43.14</v>
      </c>
      <c r="O16" s="4">
        <v>34.08</v>
      </c>
      <c r="P16" s="4">
        <v>97.8</v>
      </c>
      <c r="Q16" s="4">
        <v>109.71</v>
      </c>
      <c r="R16" s="4">
        <v>70</v>
      </c>
      <c r="S16" s="4">
        <v>96.14</v>
      </c>
      <c r="T16" s="4">
        <v>142.04</v>
      </c>
      <c r="U16" s="4">
        <v>132.96</v>
      </c>
      <c r="V16" s="4"/>
      <c r="W16" s="4"/>
      <c r="X16" s="4"/>
      <c r="Y16" s="4"/>
    </row>
    <row r="17" spans="1:25" ht="17.25" x14ac:dyDescent="0.2">
      <c r="A17" s="5" t="s">
        <v>146</v>
      </c>
      <c r="B17" s="5" t="str">
        <f t="shared" si="0"/>
        <v>EUR051</v>
      </c>
      <c r="C17" s="5" t="s">
        <v>147</v>
      </c>
      <c r="D17" s="4" t="s">
        <v>117</v>
      </c>
      <c r="E17" s="4">
        <v>124.53</v>
      </c>
      <c r="F17" s="4">
        <v>142.37</v>
      </c>
      <c r="G17" s="4">
        <v>104.64</v>
      </c>
      <c r="H17" s="4">
        <v>96.84</v>
      </c>
      <c r="I17" s="4">
        <v>119.27</v>
      </c>
      <c r="J17" s="4">
        <v>197.28</v>
      </c>
      <c r="K17" s="4">
        <v>68.349999999999994</v>
      </c>
      <c r="L17" s="4">
        <v>25.41</v>
      </c>
      <c r="M17" s="4">
        <v>57.41</v>
      </c>
      <c r="N17" s="4">
        <v>41.89</v>
      </c>
      <c r="O17" s="4">
        <v>36.01</v>
      </c>
      <c r="P17" s="4">
        <v>106.62</v>
      </c>
      <c r="Q17" s="4">
        <v>126.39</v>
      </c>
      <c r="R17" s="4">
        <v>75.56</v>
      </c>
      <c r="S17" s="4">
        <v>95.88</v>
      </c>
      <c r="T17" s="4">
        <v>146.88</v>
      </c>
      <c r="U17" s="4">
        <v>132.84</v>
      </c>
      <c r="V17" s="4"/>
      <c r="W17" s="4"/>
      <c r="X17" s="4"/>
      <c r="Y17" s="4"/>
    </row>
    <row r="18" spans="1:25" ht="17.25" x14ac:dyDescent="0.2">
      <c r="A18" s="5" t="s">
        <v>148</v>
      </c>
      <c r="B18" s="5" t="str">
        <f t="shared" si="0"/>
        <v>EUR055</v>
      </c>
      <c r="C18" s="5" t="s">
        <v>149</v>
      </c>
      <c r="D18" s="4" t="s">
        <v>117</v>
      </c>
      <c r="E18" s="4">
        <v>124.49</v>
      </c>
      <c r="F18" s="4">
        <v>142.49</v>
      </c>
      <c r="G18" s="4">
        <v>116.38</v>
      </c>
      <c r="H18" s="4">
        <v>102.06</v>
      </c>
      <c r="I18" s="4">
        <v>115.8</v>
      </c>
      <c r="J18" s="4">
        <v>196.24</v>
      </c>
      <c r="K18" s="4">
        <v>70.52</v>
      </c>
      <c r="L18" s="4">
        <v>24.03</v>
      </c>
      <c r="M18" s="4">
        <v>57.59</v>
      </c>
      <c r="N18" s="4">
        <v>42.65</v>
      </c>
      <c r="O18" s="4">
        <v>33.840000000000003</v>
      </c>
      <c r="P18" s="4">
        <v>106.47</v>
      </c>
      <c r="Q18" s="4">
        <v>115.2</v>
      </c>
      <c r="R18" s="4">
        <v>71.05</v>
      </c>
      <c r="S18" s="4">
        <v>94.82</v>
      </c>
      <c r="T18" s="4">
        <v>135.07</v>
      </c>
      <c r="U18" s="4">
        <v>134.96</v>
      </c>
      <c r="V18" s="4"/>
      <c r="W18" s="4"/>
      <c r="X18" s="4"/>
      <c r="Y18" s="4"/>
    </row>
    <row r="19" spans="1:25" ht="17.25" x14ac:dyDescent="0.2">
      <c r="A19" s="5" t="s">
        <v>150</v>
      </c>
      <c r="B19" s="5" t="str">
        <f t="shared" si="0"/>
        <v>EUR058</v>
      </c>
      <c r="C19" s="5" t="s">
        <v>151</v>
      </c>
      <c r="D19" s="4" t="s">
        <v>117</v>
      </c>
      <c r="E19" s="4">
        <v>131.75</v>
      </c>
      <c r="F19" s="4">
        <v>152.72</v>
      </c>
      <c r="G19" s="4">
        <v>119.67</v>
      </c>
      <c r="H19" s="4">
        <v>100.84</v>
      </c>
      <c r="I19" s="4">
        <v>123.62</v>
      </c>
      <c r="J19" s="4">
        <v>202.69</v>
      </c>
      <c r="K19" s="4">
        <v>61.25</v>
      </c>
      <c r="L19" s="4">
        <v>24.1</v>
      </c>
      <c r="M19" s="4">
        <v>55.17</v>
      </c>
      <c r="N19" s="4">
        <v>42.22</v>
      </c>
      <c r="O19" s="4">
        <v>32.93</v>
      </c>
      <c r="P19" s="4">
        <v>111.3</v>
      </c>
      <c r="Q19" s="4">
        <v>118.95</v>
      </c>
      <c r="R19" s="4">
        <v>69.91</v>
      </c>
      <c r="S19" s="4">
        <v>100.35</v>
      </c>
      <c r="T19" s="4">
        <v>147.38</v>
      </c>
      <c r="U19" s="4">
        <v>138.02000000000001</v>
      </c>
      <c r="V19" s="4"/>
      <c r="W19" s="4"/>
      <c r="X19" s="4"/>
      <c r="Y19" s="4"/>
    </row>
    <row r="20" spans="1:25" ht="17.25" x14ac:dyDescent="0.2">
      <c r="A20" s="5" t="s">
        <v>152</v>
      </c>
      <c r="B20" s="5" t="str">
        <f t="shared" si="0"/>
        <v>EUR059</v>
      </c>
      <c r="C20" s="5" t="s">
        <v>153</v>
      </c>
      <c r="D20" s="4" t="s">
        <v>117</v>
      </c>
      <c r="E20" s="4">
        <v>124.98</v>
      </c>
      <c r="F20" s="4">
        <v>147.99</v>
      </c>
      <c r="G20" s="4">
        <v>110.73</v>
      </c>
      <c r="H20" s="4">
        <v>104.57</v>
      </c>
      <c r="I20" s="4">
        <v>116.18</v>
      </c>
      <c r="J20" s="4">
        <v>186.08</v>
      </c>
      <c r="K20" s="4">
        <v>65.989999999999995</v>
      </c>
      <c r="L20" s="4">
        <v>24.68</v>
      </c>
      <c r="M20" s="4">
        <v>53.74</v>
      </c>
      <c r="N20" s="4">
        <v>42.11</v>
      </c>
      <c r="O20" s="4">
        <v>28.15</v>
      </c>
      <c r="P20" s="4">
        <v>106.4</v>
      </c>
      <c r="Q20" s="4">
        <v>122.69</v>
      </c>
      <c r="R20" s="4">
        <v>70.14</v>
      </c>
      <c r="S20" s="4">
        <v>93.55</v>
      </c>
      <c r="T20" s="4">
        <v>140.19</v>
      </c>
      <c r="U20" s="4">
        <v>129.34</v>
      </c>
      <c r="V20" s="4"/>
      <c r="W20" s="4"/>
      <c r="X20" s="4"/>
      <c r="Y20" s="4"/>
    </row>
    <row r="21" spans="1:25" ht="17.25" x14ac:dyDescent="0.2">
      <c r="A21" s="5" t="s">
        <v>154</v>
      </c>
      <c r="B21" s="5" t="str">
        <f t="shared" si="0"/>
        <v>EUR060</v>
      </c>
      <c r="C21" s="5" t="s">
        <v>155</v>
      </c>
      <c r="D21" s="4" t="s">
        <v>117</v>
      </c>
      <c r="E21" s="4">
        <v>130.74</v>
      </c>
      <c r="F21" s="4">
        <v>137.93</v>
      </c>
      <c r="G21" s="4">
        <v>98.02</v>
      </c>
      <c r="H21" s="4">
        <v>93.22</v>
      </c>
      <c r="I21" s="4">
        <v>118.65</v>
      </c>
      <c r="J21" s="4">
        <v>185.19</v>
      </c>
      <c r="K21" s="4">
        <v>60.7</v>
      </c>
      <c r="L21" s="4">
        <v>24.33</v>
      </c>
      <c r="M21" s="4">
        <v>51.28</v>
      </c>
      <c r="N21" s="4">
        <v>41.37</v>
      </c>
      <c r="O21" s="4">
        <v>30.44</v>
      </c>
      <c r="P21" s="4">
        <v>94.27</v>
      </c>
      <c r="Q21" s="4">
        <v>121.22</v>
      </c>
      <c r="R21" s="4">
        <v>63.96</v>
      </c>
      <c r="S21" s="4">
        <v>98.39</v>
      </c>
      <c r="T21" s="4">
        <v>150.51</v>
      </c>
      <c r="U21" s="4">
        <v>135.69999999999999</v>
      </c>
      <c r="V21" s="4"/>
      <c r="W21" s="4"/>
      <c r="X21" s="4"/>
      <c r="Y21" s="4"/>
    </row>
    <row r="22" spans="1:25" ht="17.25" x14ac:dyDescent="0.2">
      <c r="A22" s="5" t="s">
        <v>156</v>
      </c>
      <c r="B22" s="5" t="str">
        <f t="shared" si="0"/>
        <v>EUR061</v>
      </c>
      <c r="C22" s="5" t="s">
        <v>157</v>
      </c>
      <c r="D22" s="4" t="s">
        <v>117</v>
      </c>
      <c r="E22" s="4">
        <v>125.57</v>
      </c>
      <c r="F22" s="4">
        <v>141.38999999999999</v>
      </c>
      <c r="G22" s="4">
        <v>106.53</v>
      </c>
      <c r="H22" s="4">
        <v>95.18</v>
      </c>
      <c r="I22" s="4">
        <v>118.29</v>
      </c>
      <c r="J22" s="4">
        <v>198.45</v>
      </c>
      <c r="K22" s="4">
        <v>63.52</v>
      </c>
      <c r="L22" s="4">
        <v>23.2</v>
      </c>
      <c r="M22" s="4">
        <v>53.03</v>
      </c>
      <c r="N22" s="4">
        <v>39.229999999999997</v>
      </c>
      <c r="O22" s="4">
        <v>30.87</v>
      </c>
      <c r="P22" s="4">
        <v>110.99</v>
      </c>
      <c r="Q22" s="4">
        <v>123.53</v>
      </c>
      <c r="R22" s="4">
        <v>65</v>
      </c>
      <c r="S22" s="4">
        <v>99.12</v>
      </c>
      <c r="T22" s="4">
        <v>146.24</v>
      </c>
      <c r="U22" s="4">
        <v>132.97</v>
      </c>
      <c r="V22" s="4"/>
      <c r="W22" s="4"/>
      <c r="X22" s="4"/>
      <c r="Y22" s="4"/>
    </row>
    <row r="23" spans="1:25" ht="17.25" x14ac:dyDescent="0.2">
      <c r="A23" s="5" t="s">
        <v>158</v>
      </c>
      <c r="B23" s="5" t="str">
        <f t="shared" si="0"/>
        <v>EUR062</v>
      </c>
      <c r="C23" s="5" t="s">
        <v>159</v>
      </c>
      <c r="D23" s="4" t="s">
        <v>117</v>
      </c>
      <c r="E23" s="4">
        <v>133.13</v>
      </c>
      <c r="F23" s="4">
        <v>141.83000000000001</v>
      </c>
      <c r="G23" s="4">
        <v>101.55</v>
      </c>
      <c r="H23" s="4">
        <v>96.79</v>
      </c>
      <c r="I23" s="4">
        <v>123.72</v>
      </c>
      <c r="J23" s="4">
        <v>188.86</v>
      </c>
      <c r="K23" s="4">
        <v>67.540000000000006</v>
      </c>
      <c r="L23" s="4">
        <v>26.73</v>
      </c>
      <c r="M23" s="4">
        <v>55.58</v>
      </c>
      <c r="N23" s="4">
        <v>42.77</v>
      </c>
      <c r="O23" s="4">
        <v>33.020000000000003</v>
      </c>
      <c r="P23" s="4">
        <v>108.96</v>
      </c>
      <c r="Q23" s="4">
        <v>114.81</v>
      </c>
      <c r="R23" s="4">
        <v>68.33</v>
      </c>
      <c r="S23" s="4">
        <v>97.98</v>
      </c>
      <c r="T23" s="4">
        <v>153.77000000000001</v>
      </c>
      <c r="U23" s="4">
        <v>135.74</v>
      </c>
      <c r="V23" s="4"/>
      <c r="W23" s="4"/>
      <c r="X23" s="4"/>
      <c r="Y23" s="4"/>
    </row>
    <row r="24" spans="1:25" ht="17.25" x14ac:dyDescent="0.2">
      <c r="A24" s="5" t="s">
        <v>160</v>
      </c>
      <c r="B24" s="5" t="str">
        <f t="shared" si="0"/>
        <v>EUR063</v>
      </c>
      <c r="C24" s="5" t="s">
        <v>161</v>
      </c>
      <c r="D24" s="4" t="s">
        <v>117</v>
      </c>
      <c r="E24" s="4">
        <v>117.41</v>
      </c>
      <c r="F24" s="4">
        <v>149.77000000000001</v>
      </c>
      <c r="G24" s="4">
        <v>104.29</v>
      </c>
      <c r="H24" s="4">
        <v>108.57</v>
      </c>
      <c r="I24" s="4">
        <v>126.07</v>
      </c>
      <c r="J24" s="4">
        <v>197.77</v>
      </c>
      <c r="K24" s="4">
        <v>60.89</v>
      </c>
      <c r="L24" s="4">
        <v>23.19</v>
      </c>
      <c r="M24" s="4">
        <v>45.16</v>
      </c>
      <c r="N24" s="4">
        <v>38.85</v>
      </c>
      <c r="O24" s="4">
        <v>30.16</v>
      </c>
      <c r="P24" s="4">
        <v>110.12</v>
      </c>
      <c r="Q24" s="4">
        <v>122.07</v>
      </c>
      <c r="R24" s="4">
        <v>65.319999999999993</v>
      </c>
      <c r="S24" s="4">
        <v>96.9</v>
      </c>
      <c r="T24" s="4">
        <v>138.27000000000001</v>
      </c>
      <c r="U24" s="4">
        <v>125.26</v>
      </c>
      <c r="V24" s="4"/>
      <c r="W24" s="4"/>
      <c r="X24" s="4"/>
      <c r="Y24" s="4"/>
    </row>
    <row r="25" spans="1:25" ht="17.25" x14ac:dyDescent="0.2">
      <c r="A25" s="5" t="s">
        <v>162</v>
      </c>
      <c r="B25" s="5" t="str">
        <f t="shared" si="0"/>
        <v>EUR064</v>
      </c>
      <c r="C25" s="5" t="s">
        <v>163</v>
      </c>
      <c r="D25" s="4" t="s">
        <v>117</v>
      </c>
      <c r="E25" s="4">
        <v>117.4</v>
      </c>
      <c r="F25" s="4">
        <v>140.83000000000001</v>
      </c>
      <c r="G25" s="4">
        <v>99.71</v>
      </c>
      <c r="H25" s="4">
        <v>93.56</v>
      </c>
      <c r="I25" s="4">
        <v>119.73</v>
      </c>
      <c r="J25" s="4">
        <v>192</v>
      </c>
      <c r="K25" s="4">
        <v>59.51</v>
      </c>
      <c r="L25" s="4">
        <v>22.66</v>
      </c>
      <c r="M25" s="4">
        <v>49.11</v>
      </c>
      <c r="N25" s="4">
        <v>38.96</v>
      </c>
      <c r="O25" s="4">
        <v>30.97</v>
      </c>
      <c r="P25" s="4">
        <v>112.04</v>
      </c>
      <c r="Q25" s="4">
        <v>117.7</v>
      </c>
      <c r="R25" s="4">
        <v>70.17</v>
      </c>
      <c r="S25" s="4">
        <v>94</v>
      </c>
      <c r="T25" s="4">
        <v>136.51</v>
      </c>
      <c r="U25" s="4">
        <v>123.85</v>
      </c>
      <c r="V25" s="4"/>
      <c r="W25" s="4"/>
      <c r="X25" s="4"/>
      <c r="Y25" s="4"/>
    </row>
    <row r="26" spans="1:25" ht="17.25" x14ac:dyDescent="0.2">
      <c r="A26" s="5" t="s">
        <v>164</v>
      </c>
      <c r="B26" s="5" t="str">
        <f t="shared" si="0"/>
        <v>EUR066</v>
      </c>
      <c r="C26" s="5" t="s">
        <v>165</v>
      </c>
      <c r="D26" s="4" t="s">
        <v>117</v>
      </c>
      <c r="E26" s="4">
        <v>118.21</v>
      </c>
      <c r="F26" s="4">
        <v>146</v>
      </c>
      <c r="G26" s="4">
        <v>99.18</v>
      </c>
      <c r="H26" s="4">
        <v>92.75</v>
      </c>
      <c r="I26" s="4">
        <v>120.25</v>
      </c>
      <c r="J26" s="4">
        <v>191.88</v>
      </c>
      <c r="K26" s="4">
        <v>61.55</v>
      </c>
      <c r="L26" s="4">
        <v>27.16</v>
      </c>
      <c r="M26" s="4">
        <v>51.97</v>
      </c>
      <c r="N26" s="4">
        <v>39.96</v>
      </c>
      <c r="O26" s="4">
        <v>34.9</v>
      </c>
      <c r="P26" s="4">
        <v>107.17</v>
      </c>
      <c r="Q26" s="4">
        <v>120.93</v>
      </c>
      <c r="R26" s="4">
        <v>67.8</v>
      </c>
      <c r="S26" s="4">
        <v>93.71</v>
      </c>
      <c r="T26" s="4">
        <v>143.01</v>
      </c>
      <c r="U26" s="4">
        <v>127.89</v>
      </c>
      <c r="V26" s="4"/>
      <c r="W26" s="4"/>
      <c r="X26" s="4"/>
      <c r="Y26" s="4"/>
    </row>
    <row r="27" spans="1:25" ht="17.25" x14ac:dyDescent="0.2">
      <c r="A27" s="5" t="s">
        <v>166</v>
      </c>
      <c r="B27" s="5" t="str">
        <f t="shared" si="0"/>
        <v>EUR067</v>
      </c>
      <c r="C27" s="5" t="s">
        <v>167</v>
      </c>
      <c r="D27" s="4" t="s">
        <v>117</v>
      </c>
      <c r="E27" s="4">
        <v>121.72</v>
      </c>
      <c r="F27" s="4">
        <v>137.28</v>
      </c>
      <c r="G27" s="4">
        <v>103.94</v>
      </c>
      <c r="H27" s="4">
        <v>94.98</v>
      </c>
      <c r="I27" s="4">
        <v>113.78</v>
      </c>
      <c r="J27" s="4">
        <v>182.66</v>
      </c>
      <c r="K27" s="4">
        <v>60.59</v>
      </c>
      <c r="L27" s="4">
        <v>21.54</v>
      </c>
      <c r="M27" s="4">
        <v>47.86</v>
      </c>
      <c r="N27" s="4">
        <v>41.7</v>
      </c>
      <c r="O27" s="4">
        <v>30.9</v>
      </c>
      <c r="P27" s="4">
        <v>98.15</v>
      </c>
      <c r="Q27" s="4">
        <v>117.68</v>
      </c>
      <c r="R27" s="4">
        <v>64.39</v>
      </c>
      <c r="S27" s="4">
        <v>92.77</v>
      </c>
      <c r="T27" s="4">
        <v>142.16999999999999</v>
      </c>
      <c r="U27" s="4">
        <v>126.29</v>
      </c>
      <c r="V27" s="4"/>
      <c r="W27" s="4"/>
      <c r="X27" s="4"/>
      <c r="Y27" s="4"/>
    </row>
    <row r="28" spans="1:25" ht="17.25" x14ac:dyDescent="0.2">
      <c r="A28" s="5" t="s">
        <v>168</v>
      </c>
      <c r="B28" s="5" t="str">
        <f t="shared" si="0"/>
        <v>EUR068</v>
      </c>
      <c r="C28" s="5" t="s">
        <v>169</v>
      </c>
      <c r="D28" s="4" t="s">
        <v>117</v>
      </c>
      <c r="E28" s="4">
        <v>133.12</v>
      </c>
      <c r="F28" s="4">
        <v>148.16999999999999</v>
      </c>
      <c r="G28" s="4">
        <v>112.38</v>
      </c>
      <c r="H28" s="4">
        <v>101.57</v>
      </c>
      <c r="I28" s="4">
        <v>123.4</v>
      </c>
      <c r="J28" s="4">
        <v>199.69</v>
      </c>
      <c r="K28" s="4">
        <v>65.05</v>
      </c>
      <c r="L28" s="4">
        <v>25.05</v>
      </c>
      <c r="M28" s="4">
        <v>53.72</v>
      </c>
      <c r="N28" s="4">
        <v>44.9</v>
      </c>
      <c r="O28" s="4">
        <v>35.159999999999997</v>
      </c>
      <c r="P28" s="4">
        <v>109.1</v>
      </c>
      <c r="Q28" s="4">
        <v>122.4</v>
      </c>
      <c r="R28" s="4">
        <v>68.77</v>
      </c>
      <c r="S28" s="4">
        <v>103.53</v>
      </c>
      <c r="T28" s="4">
        <v>150.86000000000001</v>
      </c>
      <c r="U28" s="4">
        <v>139.68</v>
      </c>
      <c r="V28" s="4"/>
      <c r="W28" s="4"/>
      <c r="X28" s="4"/>
      <c r="Y28" s="4"/>
    </row>
    <row r="29" spans="1:25" ht="17.25" x14ac:dyDescent="0.2">
      <c r="A29" s="5" t="s">
        <v>170</v>
      </c>
      <c r="B29" s="5" t="str">
        <f t="shared" si="0"/>
        <v>EUR069</v>
      </c>
      <c r="C29" s="5" t="s">
        <v>171</v>
      </c>
      <c r="D29" s="4" t="s">
        <v>117</v>
      </c>
      <c r="E29" s="4">
        <v>132.83000000000001</v>
      </c>
      <c r="F29" s="4">
        <v>143.31</v>
      </c>
      <c r="G29" s="4">
        <v>107.88</v>
      </c>
      <c r="H29" s="4">
        <v>109.59</v>
      </c>
      <c r="I29" s="4">
        <v>122.45</v>
      </c>
      <c r="J29" s="4">
        <v>187.23</v>
      </c>
      <c r="K29" s="4">
        <v>69</v>
      </c>
      <c r="L29" s="4">
        <v>21.37</v>
      </c>
      <c r="M29" s="4">
        <v>51.75</v>
      </c>
      <c r="N29" s="4">
        <v>43.36</v>
      </c>
      <c r="O29" s="4">
        <v>32.69</v>
      </c>
      <c r="P29" s="4">
        <v>106.45</v>
      </c>
      <c r="Q29" s="4">
        <v>111.14</v>
      </c>
      <c r="R29" s="4">
        <v>68.33</v>
      </c>
      <c r="S29" s="4">
        <v>103.71</v>
      </c>
      <c r="T29" s="4">
        <v>149.72</v>
      </c>
      <c r="U29" s="4">
        <v>136.41</v>
      </c>
      <c r="V29" s="4"/>
      <c r="W29" s="4"/>
      <c r="X29" s="4"/>
      <c r="Y29" s="4"/>
    </row>
    <row r="30" spans="1:25" ht="17.25" x14ac:dyDescent="0.2">
      <c r="A30" s="5" t="s">
        <v>172</v>
      </c>
      <c r="B30" s="5" t="str">
        <f t="shared" si="0"/>
        <v>EUR070</v>
      </c>
      <c r="C30" s="5" t="s">
        <v>173</v>
      </c>
      <c r="D30" s="4" t="s">
        <v>117</v>
      </c>
      <c r="E30" s="4">
        <v>125.81</v>
      </c>
      <c r="F30" s="4">
        <v>143.47999999999999</v>
      </c>
      <c r="G30" s="4">
        <v>111.41</v>
      </c>
      <c r="H30" s="4">
        <v>101.67</v>
      </c>
      <c r="I30" s="4">
        <v>118.13</v>
      </c>
      <c r="J30" s="4">
        <v>193.97</v>
      </c>
      <c r="K30" s="4">
        <v>67.23</v>
      </c>
      <c r="L30" s="4">
        <v>23.24</v>
      </c>
      <c r="M30" s="4">
        <v>52.02</v>
      </c>
      <c r="N30" s="4">
        <v>42.72</v>
      </c>
      <c r="O30" s="4">
        <v>33.07</v>
      </c>
      <c r="P30" s="4">
        <v>104.78</v>
      </c>
      <c r="Q30" s="4">
        <v>120.64</v>
      </c>
      <c r="R30" s="4">
        <v>69.400000000000006</v>
      </c>
      <c r="S30" s="4">
        <v>95.52</v>
      </c>
      <c r="T30" s="4">
        <v>141.47</v>
      </c>
      <c r="U30" s="4">
        <v>135.31</v>
      </c>
      <c r="V30" s="4"/>
      <c r="W30" s="4"/>
      <c r="X30" s="4"/>
      <c r="Y30" s="4"/>
    </row>
    <row r="31" spans="1:25" ht="17.25" x14ac:dyDescent="0.2">
      <c r="A31" s="5" t="s">
        <v>174</v>
      </c>
      <c r="B31" s="5" t="str">
        <f t="shared" si="0"/>
        <v>EUR071</v>
      </c>
      <c r="C31" s="5" t="s">
        <v>175</v>
      </c>
      <c r="D31" s="4" t="s">
        <v>117</v>
      </c>
      <c r="E31" s="4">
        <v>121.79</v>
      </c>
      <c r="F31" s="4">
        <v>139.13999999999999</v>
      </c>
      <c r="G31" s="4">
        <v>102.39</v>
      </c>
      <c r="H31" s="4">
        <v>93.66</v>
      </c>
      <c r="I31" s="4">
        <v>113.61</v>
      </c>
      <c r="J31" s="4">
        <v>187.58</v>
      </c>
      <c r="K31" s="4">
        <v>63.24</v>
      </c>
      <c r="L31" s="4">
        <v>23.73</v>
      </c>
      <c r="M31" s="4">
        <v>53.1</v>
      </c>
      <c r="N31" s="4">
        <v>41.72</v>
      </c>
      <c r="O31" s="4">
        <v>33.270000000000003</v>
      </c>
      <c r="P31" s="4">
        <v>112.16</v>
      </c>
      <c r="Q31" s="4">
        <v>111.99</v>
      </c>
      <c r="R31" s="4">
        <v>64.38</v>
      </c>
      <c r="S31" s="4">
        <v>97.1</v>
      </c>
      <c r="T31" s="4">
        <v>140.82</v>
      </c>
      <c r="U31" s="4">
        <v>128.13999999999999</v>
      </c>
      <c r="V31" s="4"/>
      <c r="W31" s="4"/>
      <c r="X31" s="4"/>
      <c r="Y31" s="4"/>
    </row>
    <row r="32" spans="1:25" ht="17.25" x14ac:dyDescent="0.2">
      <c r="A32" s="5" t="s">
        <v>176</v>
      </c>
      <c r="B32" s="5" t="str">
        <f t="shared" si="0"/>
        <v>EUR072</v>
      </c>
      <c r="C32" s="5" t="s">
        <v>177</v>
      </c>
      <c r="D32" s="4" t="s">
        <v>117</v>
      </c>
      <c r="E32" s="4">
        <v>124.53</v>
      </c>
      <c r="F32" s="4">
        <v>142.88</v>
      </c>
      <c r="G32" s="4">
        <v>106.29</v>
      </c>
      <c r="H32" s="4">
        <v>95.52</v>
      </c>
      <c r="I32" s="4">
        <v>120.56</v>
      </c>
      <c r="J32" s="4">
        <v>187.33</v>
      </c>
      <c r="K32" s="4">
        <v>61.71</v>
      </c>
      <c r="L32" s="4">
        <v>24.11</v>
      </c>
      <c r="M32" s="4">
        <v>55.5</v>
      </c>
      <c r="N32" s="4">
        <v>40.98</v>
      </c>
      <c r="O32" s="4">
        <v>33.58</v>
      </c>
      <c r="P32" s="4">
        <v>105.93</v>
      </c>
      <c r="Q32" s="4">
        <v>112.91</v>
      </c>
      <c r="R32" s="4">
        <v>69.84</v>
      </c>
      <c r="S32" s="4">
        <v>97.91</v>
      </c>
      <c r="T32" s="4">
        <v>142</v>
      </c>
      <c r="U32" s="4">
        <v>130.74</v>
      </c>
      <c r="V32" s="4"/>
      <c r="W32" s="4"/>
      <c r="X32" s="4"/>
      <c r="Y32" s="4"/>
    </row>
    <row r="33" spans="1:25" ht="17.25" x14ac:dyDescent="0.2">
      <c r="A33" s="5" t="s">
        <v>178</v>
      </c>
      <c r="B33" s="5" t="str">
        <f t="shared" si="0"/>
        <v>EUR073</v>
      </c>
      <c r="C33" s="5" t="s">
        <v>179</v>
      </c>
      <c r="D33" s="4" t="s">
        <v>117</v>
      </c>
      <c r="E33" s="4">
        <v>132.61000000000001</v>
      </c>
      <c r="F33" s="4">
        <v>148.13</v>
      </c>
      <c r="G33" s="4">
        <v>107.59</v>
      </c>
      <c r="H33" s="4">
        <v>95.14</v>
      </c>
      <c r="I33" s="4">
        <v>114.36</v>
      </c>
      <c r="J33" s="4">
        <v>193.19</v>
      </c>
      <c r="K33" s="4">
        <v>59.41</v>
      </c>
      <c r="L33" s="4">
        <v>19.39</v>
      </c>
      <c r="M33" s="4">
        <v>51.2</v>
      </c>
      <c r="N33" s="4">
        <v>43.24</v>
      </c>
      <c r="O33" s="4">
        <v>33.409999999999997</v>
      </c>
      <c r="P33" s="4">
        <v>112.69</v>
      </c>
      <c r="Q33" s="4">
        <v>124.61</v>
      </c>
      <c r="R33" s="4">
        <v>68.63</v>
      </c>
      <c r="S33" s="4">
        <v>105.24</v>
      </c>
      <c r="T33" s="4">
        <v>146.79</v>
      </c>
      <c r="U33" s="4">
        <v>137.88999999999999</v>
      </c>
      <c r="V33" s="4"/>
      <c r="W33" s="4"/>
      <c r="X33" s="4"/>
      <c r="Y33" s="4"/>
    </row>
    <row r="34" spans="1:25" ht="17.25" x14ac:dyDescent="0.2">
      <c r="A34" s="5" t="s">
        <v>180</v>
      </c>
      <c r="B34" s="5" t="str">
        <f t="shared" si="0"/>
        <v>EUR074</v>
      </c>
      <c r="C34" s="5" t="s">
        <v>181</v>
      </c>
      <c r="D34" s="4" t="s">
        <v>117</v>
      </c>
      <c r="E34" s="4">
        <v>122.95</v>
      </c>
      <c r="F34" s="4">
        <v>144.36000000000001</v>
      </c>
      <c r="G34" s="4">
        <v>107.31</v>
      </c>
      <c r="H34" s="4">
        <v>107.24</v>
      </c>
      <c r="I34" s="4">
        <v>116.47</v>
      </c>
      <c r="J34" s="4">
        <v>196.77</v>
      </c>
      <c r="K34" s="4">
        <v>64.930000000000007</v>
      </c>
      <c r="L34" s="4">
        <v>23.06</v>
      </c>
      <c r="M34" s="4">
        <v>49.31</v>
      </c>
      <c r="N34" s="4">
        <v>43.32</v>
      </c>
      <c r="O34" s="4">
        <v>29.07</v>
      </c>
      <c r="P34" s="4">
        <v>108.78</v>
      </c>
      <c r="Q34" s="4">
        <v>131.18</v>
      </c>
      <c r="R34" s="4">
        <v>70.17</v>
      </c>
      <c r="S34" s="4">
        <v>99.9</v>
      </c>
      <c r="T34" s="4">
        <v>142.09</v>
      </c>
      <c r="U34" s="4">
        <v>128.04</v>
      </c>
      <c r="V34" s="4"/>
      <c r="W34" s="4"/>
      <c r="X34" s="4"/>
      <c r="Y34" s="4"/>
    </row>
    <row r="35" spans="1:25" ht="17.25" x14ac:dyDescent="0.2">
      <c r="A35" s="5" t="s">
        <v>182</v>
      </c>
      <c r="B35" s="5" t="str">
        <f t="shared" si="0"/>
        <v>EUR075</v>
      </c>
      <c r="C35" s="5" t="s">
        <v>183</v>
      </c>
      <c r="D35" s="4" t="s">
        <v>117</v>
      </c>
      <c r="E35" s="4">
        <v>128</v>
      </c>
      <c r="F35" s="4">
        <v>143.69999999999999</v>
      </c>
      <c r="G35" s="4">
        <v>107.97</v>
      </c>
      <c r="H35" s="4">
        <v>98.4</v>
      </c>
      <c r="I35" s="4">
        <v>123.65</v>
      </c>
      <c r="J35" s="4">
        <v>204.61</v>
      </c>
      <c r="K35" s="4">
        <v>61.87</v>
      </c>
      <c r="L35" s="4">
        <v>25.79</v>
      </c>
      <c r="M35" s="4">
        <v>50.6</v>
      </c>
      <c r="N35" s="4">
        <v>45.09</v>
      </c>
      <c r="O35" s="4">
        <v>31.7</v>
      </c>
      <c r="P35" s="4">
        <v>106.69</v>
      </c>
      <c r="Q35" s="4">
        <v>127.22</v>
      </c>
      <c r="R35" s="4">
        <v>68.349999999999994</v>
      </c>
      <c r="S35" s="4">
        <v>98.69</v>
      </c>
      <c r="T35" s="4">
        <v>140.91999999999999</v>
      </c>
      <c r="U35" s="4">
        <v>133.38999999999999</v>
      </c>
      <c r="V35" s="4"/>
      <c r="W35" s="4"/>
      <c r="X35" s="4"/>
      <c r="Y35" s="4"/>
    </row>
    <row r="36" spans="1:25" ht="17.25" x14ac:dyDescent="0.2">
      <c r="A36" s="5" t="s">
        <v>184</v>
      </c>
      <c r="B36" s="5" t="str">
        <f t="shared" si="0"/>
        <v>EUR076</v>
      </c>
      <c r="C36" s="5" t="s">
        <v>185</v>
      </c>
      <c r="D36" s="4" t="s">
        <v>117</v>
      </c>
      <c r="E36" s="4">
        <v>121.91</v>
      </c>
      <c r="F36" s="4">
        <v>144.88999999999999</v>
      </c>
      <c r="G36" s="4">
        <v>105.77</v>
      </c>
      <c r="H36" s="4">
        <v>90.59</v>
      </c>
      <c r="I36" s="4">
        <v>113.97</v>
      </c>
      <c r="J36" s="4">
        <v>186.48</v>
      </c>
      <c r="K36" s="4">
        <v>58.83</v>
      </c>
      <c r="L36" s="4">
        <v>23.91</v>
      </c>
      <c r="M36" s="4">
        <v>54.03</v>
      </c>
      <c r="N36" s="4">
        <v>41.46</v>
      </c>
      <c r="O36" s="4">
        <v>35.04</v>
      </c>
      <c r="P36" s="4">
        <v>105.89</v>
      </c>
      <c r="Q36" s="4">
        <v>120.17</v>
      </c>
      <c r="R36" s="4">
        <v>69.27</v>
      </c>
      <c r="S36" s="4">
        <v>92.71</v>
      </c>
      <c r="T36" s="4">
        <v>144.94</v>
      </c>
      <c r="U36" s="4">
        <v>125.4</v>
      </c>
      <c r="V36" s="4"/>
      <c r="W36" s="4"/>
      <c r="X36" s="4"/>
      <c r="Y36" s="4"/>
    </row>
    <row r="37" spans="1:25" ht="17.25" x14ac:dyDescent="0.2">
      <c r="A37" s="5" t="s">
        <v>186</v>
      </c>
      <c r="B37" s="5" t="str">
        <f t="shared" si="0"/>
        <v>EUR077</v>
      </c>
      <c r="C37" s="5" t="s">
        <v>187</v>
      </c>
      <c r="D37" s="4" t="s">
        <v>117</v>
      </c>
      <c r="E37" s="4">
        <v>126.89</v>
      </c>
      <c r="F37" s="4">
        <v>153.08000000000001</v>
      </c>
      <c r="G37" s="4">
        <v>112.15</v>
      </c>
      <c r="H37" s="4">
        <v>103.25</v>
      </c>
      <c r="I37" s="4">
        <v>123.86</v>
      </c>
      <c r="J37" s="4">
        <v>200.94</v>
      </c>
      <c r="K37" s="4">
        <v>62.29</v>
      </c>
      <c r="L37" s="4">
        <v>22.73</v>
      </c>
      <c r="M37" s="4">
        <v>50.66</v>
      </c>
      <c r="N37" s="4">
        <v>40.01</v>
      </c>
      <c r="O37" s="4">
        <v>34.450000000000003</v>
      </c>
      <c r="P37" s="4">
        <v>116.57</v>
      </c>
      <c r="Q37" s="4">
        <v>122.17</v>
      </c>
      <c r="R37" s="4">
        <v>73.84</v>
      </c>
      <c r="S37" s="4">
        <v>96.57</v>
      </c>
      <c r="T37" s="4">
        <v>147.61000000000001</v>
      </c>
      <c r="U37" s="4">
        <v>133.96</v>
      </c>
      <c r="V37" s="4"/>
      <c r="W37" s="4"/>
      <c r="X37" s="4"/>
      <c r="Y37" s="4"/>
    </row>
    <row r="38" spans="1:25" ht="17.25" x14ac:dyDescent="0.2">
      <c r="A38" s="5" t="s">
        <v>188</v>
      </c>
      <c r="B38" s="5" t="str">
        <f t="shared" si="0"/>
        <v>EUR078</v>
      </c>
      <c r="C38" s="5" t="s">
        <v>189</v>
      </c>
      <c r="D38" s="4" t="s">
        <v>117</v>
      </c>
      <c r="E38" s="4">
        <v>122.33</v>
      </c>
      <c r="F38" s="4">
        <v>148.5</v>
      </c>
      <c r="G38" s="4">
        <v>109.03</v>
      </c>
      <c r="H38" s="4">
        <v>92.47</v>
      </c>
      <c r="I38" s="4">
        <v>116.33</v>
      </c>
      <c r="J38" s="4">
        <v>192.41</v>
      </c>
      <c r="K38" s="4">
        <v>63.7</v>
      </c>
      <c r="L38" s="4">
        <v>21.98</v>
      </c>
      <c r="M38" s="4">
        <v>54.08</v>
      </c>
      <c r="N38" s="4">
        <v>41.41</v>
      </c>
      <c r="O38" s="4">
        <v>35.25</v>
      </c>
      <c r="P38" s="4">
        <v>113.47</v>
      </c>
      <c r="Q38" s="4">
        <v>122.64</v>
      </c>
      <c r="R38" s="4">
        <v>72.12</v>
      </c>
      <c r="S38" s="4">
        <v>97.31</v>
      </c>
      <c r="T38" s="4">
        <v>143.94999999999999</v>
      </c>
      <c r="U38" s="4">
        <v>127.48</v>
      </c>
      <c r="V38" s="4"/>
      <c r="W38" s="4"/>
      <c r="X38" s="4"/>
      <c r="Y38" s="4"/>
    </row>
    <row r="39" spans="1:25" ht="17.25" x14ac:dyDescent="0.2">
      <c r="A39" s="5" t="s">
        <v>190</v>
      </c>
      <c r="B39" s="5" t="str">
        <f t="shared" si="0"/>
        <v>EUR079</v>
      </c>
      <c r="C39" s="5" t="s">
        <v>191</v>
      </c>
      <c r="D39" s="4" t="s">
        <v>117</v>
      </c>
      <c r="E39" s="4">
        <v>117.6</v>
      </c>
      <c r="F39" s="4">
        <v>137.54</v>
      </c>
      <c r="G39" s="4">
        <v>109.62</v>
      </c>
      <c r="H39" s="4">
        <v>100.55</v>
      </c>
      <c r="I39" s="4">
        <v>115.37</v>
      </c>
      <c r="J39" s="4">
        <v>194.64</v>
      </c>
      <c r="K39" s="4">
        <v>64.33</v>
      </c>
      <c r="L39" s="4">
        <v>23.28</v>
      </c>
      <c r="M39" s="4">
        <v>49.3</v>
      </c>
      <c r="N39" s="4">
        <v>38.950000000000003</v>
      </c>
      <c r="O39" s="4">
        <v>31.66</v>
      </c>
      <c r="P39" s="4">
        <v>101.1</v>
      </c>
      <c r="Q39" s="4">
        <v>117.87</v>
      </c>
      <c r="R39" s="4">
        <v>71.290000000000006</v>
      </c>
      <c r="S39" s="4">
        <v>94.64</v>
      </c>
      <c r="T39" s="4">
        <v>130.19</v>
      </c>
      <c r="U39" s="4">
        <v>124.55</v>
      </c>
      <c r="V39" s="4"/>
      <c r="W39" s="4"/>
      <c r="X39" s="4"/>
      <c r="Y39" s="4"/>
    </row>
    <row r="40" spans="1:25" ht="17.25" x14ac:dyDescent="0.2">
      <c r="A40" s="5" t="s">
        <v>192</v>
      </c>
      <c r="B40" s="5" t="str">
        <f t="shared" si="0"/>
        <v>EUR080</v>
      </c>
      <c r="C40" s="5" t="s">
        <v>193</v>
      </c>
      <c r="D40" s="4" t="s">
        <v>117</v>
      </c>
      <c r="E40" s="4">
        <v>119.31</v>
      </c>
      <c r="F40" s="4">
        <v>142.19</v>
      </c>
      <c r="G40" s="4">
        <v>112.14</v>
      </c>
      <c r="H40" s="4">
        <v>106.03</v>
      </c>
      <c r="I40" s="4">
        <v>113.99</v>
      </c>
      <c r="J40" s="4">
        <v>192.71</v>
      </c>
      <c r="K40" s="4">
        <v>65.180000000000007</v>
      </c>
      <c r="L40" s="4">
        <v>22.77</v>
      </c>
      <c r="M40" s="4">
        <v>56.61</v>
      </c>
      <c r="N40" s="4">
        <v>41.5</v>
      </c>
      <c r="O40" s="4">
        <v>35.32</v>
      </c>
      <c r="P40" s="4">
        <v>115.03</v>
      </c>
      <c r="Q40" s="4">
        <v>109.26</v>
      </c>
      <c r="R40" s="4">
        <v>81.319999999999993</v>
      </c>
      <c r="S40" s="4">
        <v>97.91</v>
      </c>
      <c r="T40" s="4">
        <v>133.26</v>
      </c>
      <c r="U40" s="4">
        <v>127.33</v>
      </c>
      <c r="V40" s="4"/>
      <c r="W40" s="4"/>
      <c r="X40" s="4"/>
      <c r="Y40" s="4"/>
    </row>
    <row r="41" spans="1:25" ht="17.25" x14ac:dyDescent="0.2">
      <c r="A41" s="5" t="s">
        <v>194</v>
      </c>
      <c r="B41" s="5" t="str">
        <f t="shared" si="0"/>
        <v>EUR081</v>
      </c>
      <c r="C41" s="5" t="s">
        <v>195</v>
      </c>
      <c r="D41" s="4" t="s">
        <v>117</v>
      </c>
      <c r="E41" s="4">
        <v>124.62</v>
      </c>
      <c r="F41" s="4">
        <v>150.02000000000001</v>
      </c>
      <c r="G41" s="4">
        <v>108.25</v>
      </c>
      <c r="H41" s="4">
        <v>96.76</v>
      </c>
      <c r="I41" s="4">
        <v>125.71</v>
      </c>
      <c r="J41" s="4">
        <v>205.63</v>
      </c>
      <c r="K41" s="4">
        <v>64.31</v>
      </c>
      <c r="L41" s="4">
        <v>24.78</v>
      </c>
      <c r="M41" s="4">
        <v>54.6</v>
      </c>
      <c r="N41" s="4">
        <v>40.53</v>
      </c>
      <c r="O41" s="4">
        <v>35.090000000000003</v>
      </c>
      <c r="P41" s="4">
        <v>113.46</v>
      </c>
      <c r="Q41" s="4">
        <v>129.36000000000001</v>
      </c>
      <c r="R41" s="4">
        <v>71.89</v>
      </c>
      <c r="S41" s="4">
        <v>101.71</v>
      </c>
      <c r="T41" s="4">
        <v>143.09</v>
      </c>
      <c r="U41" s="4">
        <v>130.19</v>
      </c>
      <c r="V41" s="4"/>
      <c r="W41" s="4"/>
      <c r="X41" s="4"/>
      <c r="Y41" s="4"/>
    </row>
    <row r="42" spans="1:25" ht="17.25" x14ac:dyDescent="0.2">
      <c r="A42" s="5" t="s">
        <v>196</v>
      </c>
      <c r="B42" s="5" t="str">
        <f t="shared" si="0"/>
        <v>EUR086</v>
      </c>
      <c r="C42" s="5" t="s">
        <v>197</v>
      </c>
      <c r="D42" s="4" t="s">
        <v>117</v>
      </c>
      <c r="E42" s="4">
        <v>114.46</v>
      </c>
      <c r="F42" s="4">
        <v>136.91</v>
      </c>
      <c r="G42" s="4">
        <v>100.46</v>
      </c>
      <c r="H42" s="4">
        <v>95.69</v>
      </c>
      <c r="I42" s="4">
        <v>116.62</v>
      </c>
      <c r="J42" s="4">
        <v>178.03</v>
      </c>
      <c r="K42" s="4">
        <v>67.180000000000007</v>
      </c>
      <c r="L42" s="4">
        <v>23.99</v>
      </c>
      <c r="M42" s="4">
        <v>50.98</v>
      </c>
      <c r="N42" s="4">
        <v>40.1</v>
      </c>
      <c r="O42" s="4">
        <v>32.22</v>
      </c>
      <c r="P42" s="4">
        <v>97.09</v>
      </c>
      <c r="Q42" s="4">
        <v>116.64</v>
      </c>
      <c r="R42" s="4">
        <v>67.22</v>
      </c>
      <c r="S42" s="4">
        <v>96.53</v>
      </c>
      <c r="T42" s="4">
        <v>144.94999999999999</v>
      </c>
      <c r="U42" s="4">
        <v>119.17</v>
      </c>
      <c r="V42" s="4"/>
      <c r="W42" s="4"/>
      <c r="X42" s="4"/>
      <c r="Y42" s="4"/>
    </row>
    <row r="43" spans="1:25" ht="17.25" x14ac:dyDescent="0.2">
      <c r="A43" s="5" t="s">
        <v>198</v>
      </c>
      <c r="B43" s="5" t="str">
        <f t="shared" si="0"/>
        <v>EUR087</v>
      </c>
      <c r="C43" s="5" t="s">
        <v>199</v>
      </c>
      <c r="D43" s="4" t="s">
        <v>117</v>
      </c>
      <c r="E43" s="4">
        <v>115.18</v>
      </c>
      <c r="F43" s="4">
        <v>131.61000000000001</v>
      </c>
      <c r="G43" s="4">
        <v>102.52</v>
      </c>
      <c r="H43" s="4">
        <v>93.3</v>
      </c>
      <c r="I43" s="4">
        <v>116.48</v>
      </c>
      <c r="J43" s="4">
        <v>193.86</v>
      </c>
      <c r="K43" s="4">
        <v>56.13</v>
      </c>
      <c r="L43" s="4">
        <v>21.64</v>
      </c>
      <c r="M43" s="4">
        <v>55.96</v>
      </c>
      <c r="N43" s="4">
        <v>42.97</v>
      </c>
      <c r="O43" s="4">
        <v>36.1</v>
      </c>
      <c r="P43" s="4">
        <v>101.65</v>
      </c>
      <c r="Q43" s="4">
        <v>125.4</v>
      </c>
      <c r="R43" s="4">
        <v>71.650000000000006</v>
      </c>
      <c r="S43" s="4">
        <v>94.32</v>
      </c>
      <c r="T43" s="4">
        <v>140.77000000000001</v>
      </c>
      <c r="U43" s="4">
        <v>122</v>
      </c>
      <c r="V43" s="4"/>
      <c r="W43" s="4"/>
      <c r="X43" s="4"/>
      <c r="Y43" s="4"/>
    </row>
    <row r="44" spans="1:25" ht="17.25" x14ac:dyDescent="0.2">
      <c r="A44" s="5" t="s">
        <v>200</v>
      </c>
      <c r="B44" s="5" t="str">
        <f t="shared" si="0"/>
        <v>EUR091</v>
      </c>
      <c r="C44" s="5" t="s">
        <v>201</v>
      </c>
      <c r="D44" s="4" t="s">
        <v>117</v>
      </c>
      <c r="E44" s="4">
        <v>123.97</v>
      </c>
      <c r="F44" s="4">
        <v>137.83000000000001</v>
      </c>
      <c r="G44" s="4">
        <v>96.41</v>
      </c>
      <c r="H44" s="4">
        <v>83.92</v>
      </c>
      <c r="I44" s="4">
        <v>109.64</v>
      </c>
      <c r="J44" s="4">
        <v>171.63</v>
      </c>
      <c r="K44" s="4">
        <v>63.67</v>
      </c>
      <c r="L44" s="4">
        <v>25.47</v>
      </c>
      <c r="M44" s="4">
        <v>50.27</v>
      </c>
      <c r="N44" s="4">
        <v>41.26</v>
      </c>
      <c r="O44" s="4">
        <v>34.57</v>
      </c>
      <c r="P44" s="4">
        <v>95.05</v>
      </c>
      <c r="Q44" s="4">
        <v>116.52</v>
      </c>
      <c r="R44" s="4">
        <v>69.98</v>
      </c>
      <c r="S44" s="4">
        <v>94.61</v>
      </c>
      <c r="T44" s="4">
        <v>146.07</v>
      </c>
      <c r="U44" s="4">
        <v>133.32</v>
      </c>
      <c r="V44" s="4"/>
      <c r="W44" s="4"/>
      <c r="X44" s="4"/>
      <c r="Y44" s="4"/>
    </row>
    <row r="45" spans="1:25" ht="17.25" x14ac:dyDescent="0.2">
      <c r="A45" s="5" t="s">
        <v>202</v>
      </c>
      <c r="B45" s="5" t="str">
        <f t="shared" si="0"/>
        <v>EUR092</v>
      </c>
      <c r="C45" s="5" t="s">
        <v>203</v>
      </c>
      <c r="D45" s="4" t="s">
        <v>117</v>
      </c>
      <c r="E45" s="4">
        <v>122.39</v>
      </c>
      <c r="F45" s="4">
        <v>141.47</v>
      </c>
      <c r="G45" s="4">
        <v>103.41</v>
      </c>
      <c r="H45" s="4">
        <v>101.65</v>
      </c>
      <c r="I45" s="4">
        <v>114.66</v>
      </c>
      <c r="J45" s="4">
        <v>175.53</v>
      </c>
      <c r="K45" s="4">
        <v>66.61</v>
      </c>
      <c r="L45" s="4">
        <v>27.82</v>
      </c>
      <c r="M45" s="4">
        <v>50.25</v>
      </c>
      <c r="N45" s="4">
        <v>40.32</v>
      </c>
      <c r="O45" s="4">
        <v>33.700000000000003</v>
      </c>
      <c r="P45" s="4">
        <v>102.1</v>
      </c>
      <c r="Q45" s="4">
        <v>108.85</v>
      </c>
      <c r="R45" s="4">
        <v>66.58</v>
      </c>
      <c r="S45" s="4">
        <v>98.29</v>
      </c>
      <c r="T45" s="4">
        <v>142.41</v>
      </c>
      <c r="U45" s="4">
        <v>126.8</v>
      </c>
      <c r="V45" s="4"/>
      <c r="W45" s="4"/>
      <c r="X45" s="4"/>
      <c r="Y45" s="4"/>
    </row>
    <row r="46" spans="1:25" ht="17.25" x14ac:dyDescent="0.2">
      <c r="A46" s="5" t="s">
        <v>204</v>
      </c>
      <c r="B46" s="5" t="str">
        <f t="shared" si="0"/>
        <v>EUR098</v>
      </c>
      <c r="C46" s="5" t="s">
        <v>205</v>
      </c>
      <c r="D46" s="4" t="s">
        <v>117</v>
      </c>
      <c r="E46" s="4">
        <v>118.2</v>
      </c>
      <c r="F46" s="4">
        <v>136.51</v>
      </c>
      <c r="G46" s="4">
        <v>104.41</v>
      </c>
      <c r="H46" s="4">
        <v>87.69</v>
      </c>
      <c r="I46" s="4">
        <v>107.66</v>
      </c>
      <c r="J46" s="4">
        <v>186.79</v>
      </c>
      <c r="K46" s="4">
        <v>57.3</v>
      </c>
      <c r="L46" s="4">
        <v>25.6</v>
      </c>
      <c r="M46" s="4">
        <v>52.48</v>
      </c>
      <c r="N46" s="4">
        <v>41.96</v>
      </c>
      <c r="O46" s="4">
        <v>36.28</v>
      </c>
      <c r="P46" s="4">
        <v>100.58</v>
      </c>
      <c r="Q46" s="4">
        <v>119.45</v>
      </c>
      <c r="R46" s="4">
        <v>70.11</v>
      </c>
      <c r="S46" s="4">
        <v>101.95</v>
      </c>
      <c r="T46" s="4">
        <v>134.44999999999999</v>
      </c>
      <c r="U46" s="4">
        <v>122.55</v>
      </c>
      <c r="V46" s="4"/>
      <c r="W46" s="4"/>
      <c r="X46" s="4"/>
      <c r="Y46" s="4"/>
    </row>
    <row r="47" spans="1:25" ht="17.25" x14ac:dyDescent="0.2">
      <c r="A47" s="5" t="s">
        <v>206</v>
      </c>
      <c r="B47" s="5" t="str">
        <f t="shared" si="0"/>
        <v>EUR100</v>
      </c>
      <c r="C47" s="5" t="s">
        <v>207</v>
      </c>
      <c r="D47" s="4" t="s">
        <v>117</v>
      </c>
      <c r="E47" s="4">
        <v>131.21</v>
      </c>
      <c r="F47" s="4">
        <v>141.22999999999999</v>
      </c>
      <c r="G47" s="4">
        <v>109.66</v>
      </c>
      <c r="H47" s="4">
        <v>99.21</v>
      </c>
      <c r="I47" s="4">
        <v>113.43</v>
      </c>
      <c r="J47" s="4">
        <v>193.6</v>
      </c>
      <c r="K47" s="4">
        <v>60.23</v>
      </c>
      <c r="L47" s="4">
        <v>21.96</v>
      </c>
      <c r="M47" s="4">
        <v>51.99</v>
      </c>
      <c r="N47" s="4">
        <v>44.95</v>
      </c>
      <c r="O47" s="4">
        <v>35.799999999999997</v>
      </c>
      <c r="P47" s="4">
        <v>103.19</v>
      </c>
      <c r="Q47" s="4">
        <v>123.06</v>
      </c>
      <c r="R47" s="4">
        <v>75.989999999999995</v>
      </c>
      <c r="S47" s="4">
        <v>103.31</v>
      </c>
      <c r="T47" s="4">
        <v>141.38</v>
      </c>
      <c r="U47" s="4">
        <v>134.47999999999999</v>
      </c>
      <c r="V47" s="4"/>
      <c r="W47" s="4"/>
      <c r="X47" s="4"/>
      <c r="Y47" s="4"/>
    </row>
    <row r="48" spans="1:25" ht="17.25" x14ac:dyDescent="0.2">
      <c r="A48" s="6" t="s">
        <v>208</v>
      </c>
      <c r="B48" s="5" t="str">
        <f t="shared" si="0"/>
        <v>EUR101</v>
      </c>
      <c r="C48" s="5" t="s">
        <v>209</v>
      </c>
      <c r="D48" s="4" t="s">
        <v>117</v>
      </c>
      <c r="E48" s="4">
        <v>126.05</v>
      </c>
      <c r="F48" s="4">
        <v>136.19</v>
      </c>
      <c r="G48" s="4">
        <v>109.13</v>
      </c>
      <c r="H48" s="4">
        <v>101.72</v>
      </c>
      <c r="I48" s="4">
        <v>111.43</v>
      </c>
      <c r="J48" s="4">
        <v>193.97</v>
      </c>
      <c r="K48" s="4">
        <v>66.400000000000006</v>
      </c>
      <c r="L48" s="4">
        <v>20.82</v>
      </c>
      <c r="M48" s="4">
        <v>55.24</v>
      </c>
      <c r="N48" s="4">
        <v>42.66</v>
      </c>
      <c r="O48" s="4">
        <v>38.75</v>
      </c>
      <c r="P48" s="4">
        <v>104.26</v>
      </c>
      <c r="Q48" s="4">
        <v>115.34</v>
      </c>
      <c r="R48" s="4">
        <v>75.19</v>
      </c>
      <c r="S48" s="4">
        <v>101</v>
      </c>
      <c r="T48" s="4">
        <v>145.9</v>
      </c>
      <c r="U48" s="4">
        <v>131.27000000000001</v>
      </c>
      <c r="V48" s="4"/>
      <c r="W48" s="4"/>
      <c r="X48" s="4"/>
      <c r="Y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</vt:lpstr>
      <vt:lpstr>AFRF</vt:lpstr>
      <vt:lpstr>AFRM</vt:lpstr>
      <vt:lpstr>ASNF</vt:lpstr>
      <vt:lpstr>ASNM</vt:lpstr>
      <vt:lpstr>EURF</vt:lpstr>
      <vt:lpstr>EURM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Keith</cp:lastModifiedBy>
  <dcterms:created xsi:type="dcterms:W3CDTF">2003-08-27T16:40:13Z</dcterms:created>
  <dcterms:modified xsi:type="dcterms:W3CDTF">2021-10-26T20:54:10Z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e9479c3c-a345-42c2-92ad-1bf8f234310c</vt:lpwstr>
  </property>
</Properties>
</file>